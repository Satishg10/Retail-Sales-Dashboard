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D8AC256A-2695-4CE0-8B57-16CBE2282D9F}" xr6:coauthVersionLast="47" xr6:coauthVersionMax="47" xr10:uidLastSave="{00000000-0000-0000-0000-000000000000}"/>
  <bookViews>
    <workbookView xWindow="-120" yWindow="-120" windowWidth="20730" windowHeight="11160" xr2:uid="{00000000-000D-0000-FFFF-FFFF00000000}"/>
  </bookViews>
  <sheets>
    <sheet name="Readme" sheetId="7" r:id="rId1"/>
    <sheet name="Pivot_Region" sheetId="4" r:id="rId2"/>
    <sheet name="Pivot_Products" sheetId="8" r:id="rId3"/>
    <sheet name="Pivot_Trends" sheetId="9" r:id="rId4"/>
    <sheet name="SalesData" sheetId="1" r:id="rId5"/>
    <sheet name="Dashboard" sheetId="3" r:id="rId6"/>
  </sheets>
  <definedNames>
    <definedName name="_xlnm.Print_Area" localSheetId="5">Dashboard!$B$3:$Q$56</definedName>
    <definedName name="Slicer_Product_Category">#N/A</definedName>
    <definedName name="Slicer_Region">#N/A</definedName>
    <definedName name="Slicer_Year">#N/A</definedName>
  </definedNames>
  <calcPr calcId="191029"/>
  <pivotCaches>
    <pivotCache cacheId="2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XFD5" i="3" l="1"/>
  <c r="XFD4" i="3"/>
  <c r="XFD3" i="3"/>
  <c r="XFD2" i="3"/>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alcChain>
</file>

<file path=xl/sharedStrings.xml><?xml version="1.0" encoding="utf-8"?>
<sst xmlns="http://schemas.openxmlformats.org/spreadsheetml/2006/main" count="1658" uniqueCount="615">
  <si>
    <t>Order ID</t>
  </si>
  <si>
    <t>Order Date</t>
  </si>
  <si>
    <t>Customer Name</t>
  </si>
  <si>
    <t>Region</t>
  </si>
  <si>
    <t>Product Category</t>
  </si>
  <si>
    <t>Product Name</t>
  </si>
  <si>
    <t>Quantity</t>
  </si>
  <si>
    <t>Unit Price</t>
  </si>
  <si>
    <t>Total Sales</t>
  </si>
  <si>
    <t>Profit</t>
  </si>
  <si>
    <t>ORD-2024-00148</t>
  </si>
  <si>
    <t>ORD-2024-00051</t>
  </si>
  <si>
    <t>ORD-2024-00185</t>
  </si>
  <si>
    <t>ORD-2024-00199</t>
  </si>
  <si>
    <t>ORD-2025-00246</t>
  </si>
  <si>
    <t>ORD-2025-00240</t>
  </si>
  <si>
    <t>ORD-2024-00052</t>
  </si>
  <si>
    <t>ORD-2024-00119</t>
  </si>
  <si>
    <t>ORD-2025-00265</t>
  </si>
  <si>
    <t>ORD-2024-00173</t>
  </si>
  <si>
    <t>ORD-2025-00211</t>
  </si>
  <si>
    <t>ORD-2025-00280</t>
  </si>
  <si>
    <t>ORD-2025-00306</t>
  </si>
  <si>
    <t>ORD-2024-00009</t>
  </si>
  <si>
    <t>ORD-2024-00061</t>
  </si>
  <si>
    <t>ORD-2025-00202</t>
  </si>
  <si>
    <t>ORD-2024-00115</t>
  </si>
  <si>
    <t>ORD-2024-00176</t>
  </si>
  <si>
    <t>ORD-2025-00260</t>
  </si>
  <si>
    <t>ORD-2024-00170</t>
  </si>
  <si>
    <t>ORD-2024-00032</t>
  </si>
  <si>
    <t>ORD-2025-00220</t>
  </si>
  <si>
    <t>ORD-2024-00023</t>
  </si>
  <si>
    <t>ORD-2024-00060</t>
  </si>
  <si>
    <t>ORD-2025-00258</t>
  </si>
  <si>
    <t>ORD-2024-00012</t>
  </si>
  <si>
    <t>ORD-2024-00102</t>
  </si>
  <si>
    <t>ORD-2024-00076</t>
  </si>
  <si>
    <t>ORD-2024-00066</t>
  </si>
  <si>
    <t>ORD-2025-00313</t>
  </si>
  <si>
    <t>ORD-2024-00174</t>
  </si>
  <si>
    <t>ORD-2025-00291</t>
  </si>
  <si>
    <t>ORD-2025-00272</t>
  </si>
  <si>
    <t>ORD-2024-00022</t>
  </si>
  <si>
    <t>ORD-2024-00137</t>
  </si>
  <si>
    <t>ORD-2024-00117</t>
  </si>
  <si>
    <t>ORD-2024-00101</t>
  </si>
  <si>
    <t>ORD-2024-00163</t>
  </si>
  <si>
    <t>ORD-2024-00079</t>
  </si>
  <si>
    <t>ORD-2024-00082</t>
  </si>
  <si>
    <t>ORD-2024-00081</t>
  </si>
  <si>
    <t>ORD-2025-00305</t>
  </si>
  <si>
    <t>ORD-2024-00167</t>
  </si>
  <si>
    <t>ORD-2024-00087</t>
  </si>
  <si>
    <t>ORD-2025-00307</t>
  </si>
  <si>
    <t>ORD-2024-00019</t>
  </si>
  <si>
    <t>ORD-2024-00158</t>
  </si>
  <si>
    <t>ORD-2024-00166</t>
  </si>
  <si>
    <t>ORD-2025-00277</t>
  </si>
  <si>
    <t>ORD-2025-00248</t>
  </si>
  <si>
    <t>ORD-2025-00230</t>
  </si>
  <si>
    <t>ORD-2024-00031</t>
  </si>
  <si>
    <t>ORD-2024-00091</t>
  </si>
  <si>
    <t>ORD-2025-00281</t>
  </si>
  <si>
    <t>ORD-2025-00239</t>
  </si>
  <si>
    <t>ORD-2024-00003</t>
  </si>
  <si>
    <t>ORD-2024-00136</t>
  </si>
  <si>
    <t>ORD-2024-00078</t>
  </si>
  <si>
    <t>ORD-2025-00318</t>
  </si>
  <si>
    <t>ORD-2024-00092</t>
  </si>
  <si>
    <t>ORD-2024-00029</t>
  </si>
  <si>
    <t>ORD-2024-00108</t>
  </si>
  <si>
    <t>ORD-2024-00024</t>
  </si>
  <si>
    <t>ORD-2024-00107</t>
  </si>
  <si>
    <t>ORD-2024-00001</t>
  </si>
  <si>
    <t>ORD-2024-00055</t>
  </si>
  <si>
    <t>ORD-2024-00073</t>
  </si>
  <si>
    <t>ORD-2025-00256</t>
  </si>
  <si>
    <t>ORD-2024-00040</t>
  </si>
  <si>
    <t>ORD-2024-00189</t>
  </si>
  <si>
    <t>ORD-2024-00041</t>
  </si>
  <si>
    <t>ORD-2025-00236</t>
  </si>
  <si>
    <t>ORD-2025-00315</t>
  </si>
  <si>
    <t>ORD-2025-00253</t>
  </si>
  <si>
    <t>ORD-2024-00129</t>
  </si>
  <si>
    <t>ORD-2024-00088</t>
  </si>
  <si>
    <t>ORD-2024-00188</t>
  </si>
  <si>
    <t>ORD-2024-00085</t>
  </si>
  <si>
    <t>ORD-2025-00308</t>
  </si>
  <si>
    <t>ORD-2025-00244</t>
  </si>
  <si>
    <t>ORD-2024-00044</t>
  </si>
  <si>
    <t>ORD-2024-00175</t>
  </si>
  <si>
    <t>ORD-2024-00159</t>
  </si>
  <si>
    <t>ORD-2025-00263</t>
  </si>
  <si>
    <t>ORD-2024-00053</t>
  </si>
  <si>
    <t>ORD-2025-00218</t>
  </si>
  <si>
    <t>ORD-2025-00215</t>
  </si>
  <si>
    <t>ORD-2024-00196</t>
  </si>
  <si>
    <t>ORD-2024-00157</t>
  </si>
  <si>
    <t>ORD-2025-00298</t>
  </si>
  <si>
    <t>ORD-2025-00232</t>
  </si>
  <si>
    <t>ORD-2025-00295</t>
  </si>
  <si>
    <t>ORD-2024-00132</t>
  </si>
  <si>
    <t>ORD-2024-00050</t>
  </si>
  <si>
    <t>ORD-2024-00177</t>
  </si>
  <si>
    <t>ORD-2025-00257</t>
  </si>
  <si>
    <t>ORD-2025-00247</t>
  </si>
  <si>
    <t>ORD-2025-00268</t>
  </si>
  <si>
    <t>ORD-2024-00116</t>
  </si>
  <si>
    <t>ORD-2025-00229</t>
  </si>
  <si>
    <t>ORD-2025-00252</t>
  </si>
  <si>
    <t>ORD-2025-00210</t>
  </si>
  <si>
    <t>ORD-2024-00058</t>
  </si>
  <si>
    <t>ORD-2025-00288</t>
  </si>
  <si>
    <t>ORD-2024-00030</t>
  </si>
  <si>
    <t>ORD-2025-00273</t>
  </si>
  <si>
    <t>ORD-2024-00065</t>
  </si>
  <si>
    <t>ORD-2025-00227</t>
  </si>
  <si>
    <t>ORD-2025-00245</t>
  </si>
  <si>
    <t>ORD-2025-00286</t>
  </si>
  <si>
    <t>ORD-2024-00160</t>
  </si>
  <si>
    <t>ORD-2024-00046</t>
  </si>
  <si>
    <t>ORD-2024-00018</t>
  </si>
  <si>
    <t>ORD-2025-00285</t>
  </si>
  <si>
    <t>ORD-2024-00128</t>
  </si>
  <si>
    <t>ORD-2024-00007</t>
  </si>
  <si>
    <t>ORD-2024-00162</t>
  </si>
  <si>
    <t>ORD-2024-00104</t>
  </si>
  <si>
    <t>ORD-2025-00278</t>
  </si>
  <si>
    <t>ORD-2024-00138</t>
  </si>
  <si>
    <t>ORD-2024-00015</t>
  </si>
  <si>
    <t>ORD-2024-00027</t>
  </si>
  <si>
    <t>ORD-2024-00130</t>
  </si>
  <si>
    <t>ORD-2024-00118</t>
  </si>
  <si>
    <t>ORD-2025-00271</t>
  </si>
  <si>
    <t>ORD-2024-00026</t>
  </si>
  <si>
    <t>ORD-2024-00093</t>
  </si>
  <si>
    <t>ORD-2024-00126</t>
  </si>
  <si>
    <t>ORD-2024-00096</t>
  </si>
  <si>
    <t>ORD-2024-00184</t>
  </si>
  <si>
    <t>ORD-2025-00203</t>
  </si>
  <si>
    <t>ORD-2024-00042</t>
  </si>
  <si>
    <t>ORD-2025-00266</t>
  </si>
  <si>
    <t>ORD-2024-00198</t>
  </si>
  <si>
    <t>ORD-2024-00034</t>
  </si>
  <si>
    <t>ORD-2025-00207</t>
  </si>
  <si>
    <t>ORD-2024-00037</t>
  </si>
  <si>
    <t>ORD-2025-00255</t>
  </si>
  <si>
    <t>ORD-2024-00195</t>
  </si>
  <si>
    <t>ORD-2025-00254</t>
  </si>
  <si>
    <t>ORD-2025-00242</t>
  </si>
  <si>
    <t>ORD-2024-00141</t>
  </si>
  <si>
    <t>ORD-2024-00183</t>
  </si>
  <si>
    <t>ORD-2024-00008</t>
  </si>
  <si>
    <t>ORD-2025-00292</t>
  </si>
  <si>
    <t>ORD-2024-00090</t>
  </si>
  <si>
    <t>ORD-2024-00150</t>
  </si>
  <si>
    <t>ORD-2025-00290</t>
  </si>
  <si>
    <t>ORD-2024-00124</t>
  </si>
  <si>
    <t>ORD-2024-00016</t>
  </si>
  <si>
    <t>ORD-2024-00068</t>
  </si>
  <si>
    <t>ORD-2024-00140</t>
  </si>
  <si>
    <t>ORD-2024-00168</t>
  </si>
  <si>
    <t>ORD-2024-00098</t>
  </si>
  <si>
    <t>ORD-2024-00133</t>
  </si>
  <si>
    <t>ORD-2024-00191</t>
  </si>
  <si>
    <t>ORD-2025-00250</t>
  </si>
  <si>
    <t>ORD-2024-00192</t>
  </si>
  <si>
    <t>ORD-2025-00237</t>
  </si>
  <si>
    <t>ORD-2025-00243</t>
  </si>
  <si>
    <t>ORD-2024-00100</t>
  </si>
  <si>
    <t>ORD-2024-00084</t>
  </si>
  <si>
    <t>ORD-2024-00089</t>
  </si>
  <si>
    <t>ORD-2024-00110</t>
  </si>
  <si>
    <t>ORD-2025-00274</t>
  </si>
  <si>
    <t>ORD-2024-00005</t>
  </si>
  <si>
    <t>ORD-2024-00143</t>
  </si>
  <si>
    <t>ORD-2025-00214</t>
  </si>
  <si>
    <t>ORD-2025-00234</t>
  </si>
  <si>
    <t>ORD-2025-00317</t>
  </si>
  <si>
    <t>ORD-2024-00094</t>
  </si>
  <si>
    <t>ORD-2025-00264</t>
  </si>
  <si>
    <t>ORD-2025-00296</t>
  </si>
  <si>
    <t>ORD-2025-00201</t>
  </si>
  <si>
    <t>ORD-2024-00197</t>
  </si>
  <si>
    <t>ORD-2024-00169</t>
  </si>
  <si>
    <t>ORD-2024-00154</t>
  </si>
  <si>
    <t>ORD-2024-00151</t>
  </si>
  <si>
    <t>ORD-2024-00155</t>
  </si>
  <si>
    <t>ORD-2024-00004</t>
  </si>
  <si>
    <t>ORD-2025-00224</t>
  </si>
  <si>
    <t>ORD-2024-00180</t>
  </si>
  <si>
    <t>ORD-2024-00010</t>
  </si>
  <si>
    <t>ORD-2025-00233</t>
  </si>
  <si>
    <t>ORD-2025-00276</t>
  </si>
  <si>
    <t>ORD-2024-00190</t>
  </si>
  <si>
    <t>ORD-2024-00069</t>
  </si>
  <si>
    <t>ORD-2025-00212</t>
  </si>
  <si>
    <t>ORD-2024-00097</t>
  </si>
  <si>
    <t>ORD-2025-00275</t>
  </si>
  <si>
    <t>ORD-2025-00303</t>
  </si>
  <si>
    <t>ORD-2024-00134</t>
  </si>
  <si>
    <t>ORD-2024-00033</t>
  </si>
  <si>
    <t>ORD-2025-00311</t>
  </si>
  <si>
    <t>ORD-2024-00057</t>
  </si>
  <si>
    <t>ORD-2024-00017</t>
  </si>
  <si>
    <t>ORD-2025-00294</t>
  </si>
  <si>
    <t>ORD-2024-00080</t>
  </si>
  <si>
    <t>ORD-2024-00111</t>
  </si>
  <si>
    <t>ORD-2025-00300</t>
  </si>
  <si>
    <t>ORD-2024-00083</t>
  </si>
  <si>
    <t>ORD-2025-00309</t>
  </si>
  <si>
    <t>ORD-2024-00161</t>
  </si>
  <si>
    <t>ORD-2024-00127</t>
  </si>
  <si>
    <t>ORD-2024-00114</t>
  </si>
  <si>
    <t>ORD-2024-00178</t>
  </si>
  <si>
    <t>ORD-2025-00283</t>
  </si>
  <si>
    <t>ORD-2024-00142</t>
  </si>
  <si>
    <t>ORD-2025-00293</t>
  </si>
  <si>
    <t>ORD-2025-00299</t>
  </si>
  <si>
    <t>ORD-2024-00099</t>
  </si>
  <si>
    <t>ORD-2024-00145</t>
  </si>
  <si>
    <t>ORD-2025-00249</t>
  </si>
  <si>
    <t>ORD-2025-00226</t>
  </si>
  <si>
    <t>ORD-2024-00013</t>
  </si>
  <si>
    <t>ORD-2024-00187</t>
  </si>
  <si>
    <t>ORD-2024-00106</t>
  </si>
  <si>
    <t>ORD-2025-00312</t>
  </si>
  <si>
    <t>ORD-2024-00112</t>
  </si>
  <si>
    <t>ORD-2025-00216</t>
  </si>
  <si>
    <t>ORD-2024-00077</t>
  </si>
  <si>
    <t>ORD-2024-00152</t>
  </si>
  <si>
    <t>ORD-2025-00262</t>
  </si>
  <si>
    <t>ORD-2024-00047</t>
  </si>
  <si>
    <t>ORD-2025-00267</t>
  </si>
  <si>
    <t>ORD-2025-00221</t>
  </si>
  <si>
    <t>ORD-2024-00135</t>
  </si>
  <si>
    <t>ORD-2024-00075</t>
  </si>
  <si>
    <t>ORD-2025-00208</t>
  </si>
  <si>
    <t>ORD-2024-00105</t>
  </si>
  <si>
    <t>ORD-2024-00043</t>
  </si>
  <si>
    <t>ORD-2024-00021</t>
  </si>
  <si>
    <t>ORD-2025-00320</t>
  </si>
  <si>
    <t>ORD-2024-00146</t>
  </si>
  <si>
    <t>ORD-2024-00181</t>
  </si>
  <si>
    <t>ORD-2024-00039</t>
  </si>
  <si>
    <t>ORD-2025-00241</t>
  </si>
  <si>
    <t>ORD-2025-00270</t>
  </si>
  <si>
    <t>ORD-2025-00289</t>
  </si>
  <si>
    <t>ORD-2025-00314</t>
  </si>
  <si>
    <t>ORD-2024-00113</t>
  </si>
  <si>
    <t>ORD-2024-00036</t>
  </si>
  <si>
    <t>ORD-2025-00238</t>
  </si>
  <si>
    <t>ORD-2024-00147</t>
  </si>
  <si>
    <t>ORD-2024-00144</t>
  </si>
  <si>
    <t>ORD-2024-00038</t>
  </si>
  <si>
    <t>ORD-2024-00020</t>
  </si>
  <si>
    <t>ORD-2024-00056</t>
  </si>
  <si>
    <t>ORD-2024-00049</t>
  </si>
  <si>
    <t>ORD-2024-00086</t>
  </si>
  <si>
    <t>ORD-2025-00231</t>
  </si>
  <si>
    <t>ORD-2024-00014</t>
  </si>
  <si>
    <t>ORD-2024-00074</t>
  </si>
  <si>
    <t>ORD-2024-00149</t>
  </si>
  <si>
    <t>ORD-2024-00048</t>
  </si>
  <si>
    <t>ORD-2024-00122</t>
  </si>
  <si>
    <t>ORD-2025-00287</t>
  </si>
  <si>
    <t>ORD-2025-00282</t>
  </si>
  <si>
    <t>ORD-2025-00206</t>
  </si>
  <si>
    <t>ORD-2025-00251</t>
  </si>
  <si>
    <t>ORD-2025-00228</t>
  </si>
  <si>
    <t>ORD-2024-00059</t>
  </si>
  <si>
    <t>ORD-2024-00186</t>
  </si>
  <si>
    <t>ORD-2025-00304</t>
  </si>
  <si>
    <t>ORD-2025-00269</t>
  </si>
  <si>
    <t>ORD-2024-00123</t>
  </si>
  <si>
    <t>ORD-2024-00064</t>
  </si>
  <si>
    <t>ORD-2024-00179</t>
  </si>
  <si>
    <t>ORD-2024-00120</t>
  </si>
  <si>
    <t>ORD-2025-00209</t>
  </si>
  <si>
    <t>ORD-2024-00095</t>
  </si>
  <si>
    <t>ORD-2024-00165</t>
  </si>
  <si>
    <t>ORD-2024-00109</t>
  </si>
  <si>
    <t>ORD-2024-00171</t>
  </si>
  <si>
    <t>ORD-2024-00125</t>
  </si>
  <si>
    <t>ORD-2024-00131</t>
  </si>
  <si>
    <t>ORD-2024-00164</t>
  </si>
  <si>
    <t>ORD-2024-00156</t>
  </si>
  <si>
    <t>ORD-2024-00194</t>
  </si>
  <si>
    <t>ORD-2025-00319</t>
  </si>
  <si>
    <t>ORD-2024-00139</t>
  </si>
  <si>
    <t>ORD-2024-00006</t>
  </si>
  <si>
    <t>ORD-2024-00062</t>
  </si>
  <si>
    <t>ORD-2025-00301</t>
  </si>
  <si>
    <t>ORD-2024-00011</t>
  </si>
  <si>
    <t>ORD-2024-00070</t>
  </si>
  <si>
    <t>ORD-2025-00223</t>
  </si>
  <si>
    <t>ORD-2025-00316</t>
  </si>
  <si>
    <t>ORD-2025-00279</t>
  </si>
  <si>
    <t>ORD-2024-00028</t>
  </si>
  <si>
    <t>ORD-2025-00225</t>
  </si>
  <si>
    <t>ORD-2025-00302</t>
  </si>
  <si>
    <t>ORD-2024-00153</t>
  </si>
  <si>
    <t>ORD-2025-00205</t>
  </si>
  <si>
    <t>ORD-2025-00297</t>
  </si>
  <si>
    <t>ORD-2025-00259</t>
  </si>
  <si>
    <t>ORD-2025-00235</t>
  </si>
  <si>
    <t>ORD-2024-00193</t>
  </si>
  <si>
    <t>ORD-2025-00200</t>
  </si>
  <si>
    <t>ORD-2024-00103</t>
  </si>
  <si>
    <t>ORD-2025-00219</t>
  </si>
  <si>
    <t>ORD-2024-00067</t>
  </si>
  <si>
    <t>ORD-2024-00063</t>
  </si>
  <si>
    <t>ORD-2024-00045</t>
  </si>
  <si>
    <t>ORD-2025-00261</t>
  </si>
  <si>
    <t>ORD-2024-00025</t>
  </si>
  <si>
    <t>ORD-2024-00002</t>
  </si>
  <si>
    <t>ORD-2025-00284</t>
  </si>
  <si>
    <t>ORD-2025-00204</t>
  </si>
  <si>
    <t>ORD-2025-00222</t>
  </si>
  <si>
    <t>ORD-2024-00172</t>
  </si>
  <si>
    <t>ORD-2025-00217</t>
  </si>
  <si>
    <t>ORD-2024-00182</t>
  </si>
  <si>
    <t>ORD-2024-00071</t>
  </si>
  <si>
    <t>ORD-2025-00213</t>
  </si>
  <si>
    <t>ORD-2024-00054</t>
  </si>
  <si>
    <t>ORD-2024-00035</t>
  </si>
  <si>
    <t>ORD-2024-00121</t>
  </si>
  <si>
    <t>ORD-2025-00310</t>
  </si>
  <si>
    <t>ORD-2024-00072</t>
  </si>
  <si>
    <t>Meera Kulkarni</t>
  </si>
  <si>
    <t>Sanjay Patel</t>
  </si>
  <si>
    <t>Pooja Verma</t>
  </si>
  <si>
    <t>Kabir Singh</t>
  </si>
  <si>
    <t>Ishaan Khan</t>
  </si>
  <si>
    <t>Riya Basu</t>
  </si>
  <si>
    <t>Aarav Iyer</t>
  </si>
  <si>
    <t>Aanya Chatterjee</t>
  </si>
  <si>
    <t>Vikram Verma</t>
  </si>
  <si>
    <t>Aditya Reddy</t>
  </si>
  <si>
    <t>Kiran Patel</t>
  </si>
  <si>
    <t>Ira Gowda</t>
  </si>
  <si>
    <t>Aditya Chatterjee</t>
  </si>
  <si>
    <t>Ananya Mishra</t>
  </si>
  <si>
    <t>Pooja Nair</t>
  </si>
  <si>
    <t>Vikram Yadav</t>
  </si>
  <si>
    <t>Diya Gupta</t>
  </si>
  <si>
    <t>Ira Joshi</t>
  </si>
  <si>
    <t>Aarav Khan</t>
  </si>
  <si>
    <t>Kiran Banerjee</t>
  </si>
  <si>
    <t>Meera Sharma</t>
  </si>
  <si>
    <t>Diya Yadav</t>
  </si>
  <si>
    <t>Kabir Yadav</t>
  </si>
  <si>
    <t>Vikram Iyer</t>
  </si>
  <si>
    <t>Kabir Gowda</t>
  </si>
  <si>
    <t>Aditya Verma</t>
  </si>
  <si>
    <t>Aditya Joshi</t>
  </si>
  <si>
    <t>Kiran Basu</t>
  </si>
  <si>
    <t>Aanya Yadav</t>
  </si>
  <si>
    <t>Kiran Menon</t>
  </si>
  <si>
    <t>Reyansh Gowda</t>
  </si>
  <si>
    <t>Sanjay Das</t>
  </si>
  <si>
    <t>Neha Menon</t>
  </si>
  <si>
    <t>Aarav Joshi</t>
  </si>
  <si>
    <t>Kabir Das</t>
  </si>
  <si>
    <t>Kiran Das</t>
  </si>
  <si>
    <t>Meera Patel</t>
  </si>
  <si>
    <t>Vihaan Joshi</t>
  </si>
  <si>
    <t>Reyansh Reddy</t>
  </si>
  <si>
    <t>Neha Gowda</t>
  </si>
  <si>
    <t>Rohan Reddy</t>
  </si>
  <si>
    <t>Vihaan Khan</t>
  </si>
  <si>
    <t>Sara Iyer</t>
  </si>
  <si>
    <t>Pooja Rao</t>
  </si>
  <si>
    <t>Aanya Menon</t>
  </si>
  <si>
    <t>Rohan Patel</t>
  </si>
  <si>
    <t>Aditya Rao</t>
  </si>
  <si>
    <t>Ishaan Mishra</t>
  </si>
  <si>
    <t>Kabir Rao</t>
  </si>
  <si>
    <t>Riya Gupta</t>
  </si>
  <si>
    <t>Reyansh Basu</t>
  </si>
  <si>
    <t>Pooja Yadav</t>
  </si>
  <si>
    <t>Aditya Khan</t>
  </si>
  <si>
    <t>Vihaan Sharma</t>
  </si>
  <si>
    <t>Ishaan Reddy</t>
  </si>
  <si>
    <t>Ananya Menon</t>
  </si>
  <si>
    <t>Aditya Gowda</t>
  </si>
  <si>
    <t>Aanya Gupta</t>
  </si>
  <si>
    <t>Aarav Gupta</t>
  </si>
  <si>
    <t>Reyansh Yadav</t>
  </si>
  <si>
    <t>Vihaan Patel</t>
  </si>
  <si>
    <t>Kabir Sharma</t>
  </si>
  <si>
    <t>Sara Nair</t>
  </si>
  <si>
    <t>Kiran Joshi</t>
  </si>
  <si>
    <t>Sara Yadav</t>
  </si>
  <si>
    <t>Kabir Menon</t>
  </si>
  <si>
    <t>Sanjay Nair</t>
  </si>
  <si>
    <t>Neha Singh</t>
  </si>
  <si>
    <t>Vihaan Nair</t>
  </si>
  <si>
    <t>Neha Reddy</t>
  </si>
  <si>
    <t>Ira Gupta</t>
  </si>
  <si>
    <t>Ananya Verma</t>
  </si>
  <si>
    <t>Rohan Rao</t>
  </si>
  <si>
    <t>Rahul Rao</t>
  </si>
  <si>
    <t>Rohan Kulkarni</t>
  </si>
  <si>
    <t>Aanya Banerjee</t>
  </si>
  <si>
    <t>Rohan Nair</t>
  </si>
  <si>
    <t>Vikram Basu</t>
  </si>
  <si>
    <t>Pooja Singh</t>
  </si>
  <si>
    <t>Vikram Singh</t>
  </si>
  <si>
    <t>Meera Gupta</t>
  </si>
  <si>
    <t>Aditya Singh</t>
  </si>
  <si>
    <t>Meera Singh</t>
  </si>
  <si>
    <t>Ira Sharma</t>
  </si>
  <si>
    <t>Meera Basu</t>
  </si>
  <si>
    <t>Ishaan Sharma</t>
  </si>
  <si>
    <t>Kabir Gupta</t>
  </si>
  <si>
    <t>Vikram Mishra</t>
  </si>
  <si>
    <t>Ira Menon</t>
  </si>
  <si>
    <t>Sara Banerjee</t>
  </si>
  <si>
    <t>Rohan Gowda</t>
  </si>
  <si>
    <t>Pooja Joshi</t>
  </si>
  <si>
    <t>Ananya Patel</t>
  </si>
  <si>
    <t>Vihaan Verma</t>
  </si>
  <si>
    <t>Ira Yadav</t>
  </si>
  <si>
    <t>Neha Kulkarni</t>
  </si>
  <si>
    <t>Kiran Gowda</t>
  </si>
  <si>
    <t>Aditya Banerjee</t>
  </si>
  <si>
    <t>Ira Kulkarni</t>
  </si>
  <si>
    <t>Aanya Joshi</t>
  </si>
  <si>
    <t>Ananya Chatterjee</t>
  </si>
  <si>
    <t>Vihaan Kulkarni</t>
  </si>
  <si>
    <t>Sara Sharma</t>
  </si>
  <si>
    <t>Riya Kulkarni</t>
  </si>
  <si>
    <t>Rohan Gupta</t>
  </si>
  <si>
    <t>Vihaan Basu</t>
  </si>
  <si>
    <t>Aarav Verma</t>
  </si>
  <si>
    <t>Pooja Basu</t>
  </si>
  <si>
    <t>Aanya Iyer</t>
  </si>
  <si>
    <t>Ishaan Basu</t>
  </si>
  <si>
    <t>Rohan Basu</t>
  </si>
  <si>
    <t>Neha Patel</t>
  </si>
  <si>
    <t>Vikram Banerjee</t>
  </si>
  <si>
    <t>Aarav Yadav</t>
  </si>
  <si>
    <t>Pooja Sharma</t>
  </si>
  <si>
    <t>Diya Menon</t>
  </si>
  <si>
    <t>Rohan Iyer</t>
  </si>
  <si>
    <t>Aditya Nair</t>
  </si>
  <si>
    <t>Vikram Sharma</t>
  </si>
  <si>
    <t>Kabir Joshi</t>
  </si>
  <si>
    <t>Ishaan Banerjee</t>
  </si>
  <si>
    <t>Kiran Mishra</t>
  </si>
  <si>
    <t>Aditya Yadav</t>
  </si>
  <si>
    <t>Vikram Chatterjee</t>
  </si>
  <si>
    <t>Sara Basu</t>
  </si>
  <si>
    <t>Rohan Menon</t>
  </si>
  <si>
    <t>Diya Reddy</t>
  </si>
  <si>
    <t>Ananya Basu</t>
  </si>
  <si>
    <t>Aarav Gowda</t>
  </si>
  <si>
    <t>Sara Kulkarni</t>
  </si>
  <si>
    <t>Ishaan Singh</t>
  </si>
  <si>
    <t>Aarav Basu</t>
  </si>
  <si>
    <t>Sanjay Mishra</t>
  </si>
  <si>
    <t>Pooja Gowda</t>
  </si>
  <si>
    <t>Ishaan Rao</t>
  </si>
  <si>
    <t>Sara Reddy</t>
  </si>
  <si>
    <t>Kiran Yadav</t>
  </si>
  <si>
    <t>Ishaan Kulkarni</t>
  </si>
  <si>
    <t>Sanjay Chatterjee</t>
  </si>
  <si>
    <t>Kiran Khan</t>
  </si>
  <si>
    <t>Vihaan Mishra</t>
  </si>
  <si>
    <t>Aditya Kulkarni</t>
  </si>
  <si>
    <t>Pooja Patel</t>
  </si>
  <si>
    <t>Ira Verma</t>
  </si>
  <si>
    <t>Ira Basu</t>
  </si>
  <si>
    <t>Vikram Gowda</t>
  </si>
  <si>
    <t>Diya Joshi</t>
  </si>
  <si>
    <t>Rahul Mishra</t>
  </si>
  <si>
    <t>Rahul Gowda</t>
  </si>
  <si>
    <t>Kiran Gupta</t>
  </si>
  <si>
    <t>Vikram Gupta</t>
  </si>
  <si>
    <t>Aditya Iyer</t>
  </si>
  <si>
    <t>Sanjay Verma</t>
  </si>
  <si>
    <t>Rahul Sharma</t>
  </si>
  <si>
    <t>Kabir Chatterjee</t>
  </si>
  <si>
    <t>Sara Mishra</t>
  </si>
  <si>
    <t>Diya Verma</t>
  </si>
  <si>
    <t>Aanya Reddy</t>
  </si>
  <si>
    <t>Aanya Verma</t>
  </si>
  <si>
    <t>Rahul Patel</t>
  </si>
  <si>
    <t>Aanya Nair</t>
  </si>
  <si>
    <t>Rahul Chatterjee</t>
  </si>
  <si>
    <t>Rohan Chatterjee</t>
  </si>
  <si>
    <t>Kabir Banerjee</t>
  </si>
  <si>
    <t>Kiran Chatterjee</t>
  </si>
  <si>
    <t>Aarav Singh</t>
  </si>
  <si>
    <t>Pooja Gupta</t>
  </si>
  <si>
    <t>Diya Patel</t>
  </si>
  <si>
    <t>Meera Iyer</t>
  </si>
  <si>
    <t>Aanya Rao</t>
  </si>
  <si>
    <t>Reyansh Singh</t>
  </si>
  <si>
    <t>Meera Banerjee</t>
  </si>
  <si>
    <t>Ishaan Iyer</t>
  </si>
  <si>
    <t>Diya Singh</t>
  </si>
  <si>
    <t>Rohan Khan</t>
  </si>
  <si>
    <t>Neha Verma</t>
  </si>
  <si>
    <t>Meera Das</t>
  </si>
  <si>
    <t>Kabir Nair</t>
  </si>
  <si>
    <t>Aanya Kulkarni</t>
  </si>
  <si>
    <t>Aditya Gupta</t>
  </si>
  <si>
    <t>Ira Rao</t>
  </si>
  <si>
    <t>Diya Iyer</t>
  </si>
  <si>
    <t>Riya Sharma</t>
  </si>
  <si>
    <t>Rahul Joshi</t>
  </si>
  <si>
    <t>Kiran Kulkarni</t>
  </si>
  <si>
    <t>Meera Joshi</t>
  </si>
  <si>
    <t>Rahul Gupta</t>
  </si>
  <si>
    <t>Ananya Banerjee</t>
  </si>
  <si>
    <t>Meera Rao</t>
  </si>
  <si>
    <t>Sanjay Singh</t>
  </si>
  <si>
    <t>Sanjay Banerjee</t>
  </si>
  <si>
    <t>Diya Sharma</t>
  </si>
  <si>
    <t>Vihaan Gowda</t>
  </si>
  <si>
    <t>Ananya Reddy</t>
  </si>
  <si>
    <t>Ananya Gupta</t>
  </si>
  <si>
    <t>Sanjay Gowda</t>
  </si>
  <si>
    <t>Meera Nair</t>
  </si>
  <si>
    <t>Sanjay Rao</t>
  </si>
  <si>
    <t>Ananya Das</t>
  </si>
  <si>
    <t>Ishaan Nair</t>
  </si>
  <si>
    <t>Reyansh Verma</t>
  </si>
  <si>
    <t>Neha Joshi</t>
  </si>
  <si>
    <t>Sara Gowda</t>
  </si>
  <si>
    <t>Sara Chatterjee</t>
  </si>
  <si>
    <t>Ira Banerjee</t>
  </si>
  <si>
    <t>Aarav Menon</t>
  </si>
  <si>
    <t>Riya Rao</t>
  </si>
  <si>
    <t>Vihaan Gupta</t>
  </si>
  <si>
    <t>Rohan Mishra</t>
  </si>
  <si>
    <t>Kiran Verma</t>
  </si>
  <si>
    <t>Ananya Iyer</t>
  </si>
  <si>
    <t>Sanjay Joshi</t>
  </si>
  <si>
    <t>Neha Mishra</t>
  </si>
  <si>
    <t>Ishaan Joshi</t>
  </si>
  <si>
    <t>Sanjay Reddy</t>
  </si>
  <si>
    <t>Neha Sharma</t>
  </si>
  <si>
    <t>Kabir Basu</t>
  </si>
  <si>
    <t>Ananya Khan</t>
  </si>
  <si>
    <t>Ira Mishra</t>
  </si>
  <si>
    <t>Aanya Patel</t>
  </si>
  <si>
    <t>Pooja Kulkarni</t>
  </si>
  <si>
    <t>Neha Basu</t>
  </si>
  <si>
    <t>Riya Gowda</t>
  </si>
  <si>
    <t>Ishaan Das</t>
  </si>
  <si>
    <t>Sanjay Khan</t>
  </si>
  <si>
    <t>Reyansh Rao</t>
  </si>
  <si>
    <t>Ananya Joshi</t>
  </si>
  <si>
    <t>West</t>
  </si>
  <si>
    <t>South</t>
  </si>
  <si>
    <t>North</t>
  </si>
  <si>
    <t>East</t>
  </si>
  <si>
    <t>Furniture</t>
  </si>
  <si>
    <t>Electronics</t>
  </si>
  <si>
    <t>Office Supplies</t>
  </si>
  <si>
    <t>Ergo Chair</t>
  </si>
  <si>
    <t>4K Monitor 27</t>
  </si>
  <si>
    <t>Stapler Pro</t>
  </si>
  <si>
    <t>Ink Cartridge</t>
  </si>
  <si>
    <t>Highlighters (5)</t>
  </si>
  <si>
    <t>Notepad Set</t>
  </si>
  <si>
    <t>Ballpoint Pens (10)</t>
  </si>
  <si>
    <t>Sofa 2-Seater</t>
  </si>
  <si>
    <t>Mechanical Keyboard</t>
  </si>
  <si>
    <t>A4 Paper Ream</t>
  </si>
  <si>
    <t>Standing Desk</t>
  </si>
  <si>
    <t>Laptop Pro 14</t>
  </si>
  <si>
    <t>Smartphone X1</t>
  </si>
  <si>
    <t>Noise-cancel Headphones</t>
  </si>
  <si>
    <t>Wireless Mouse</t>
  </si>
  <si>
    <t>Tablet Air</t>
  </si>
  <si>
    <t>Conference Table</t>
  </si>
  <si>
    <t>Filing Cabinet</t>
  </si>
  <si>
    <t>Bookshelf Oak</t>
  </si>
  <si>
    <t>Year</t>
  </si>
  <si>
    <t>Row Labels</t>
  </si>
  <si>
    <t>Grand Total</t>
  </si>
  <si>
    <t>Sum of Total Sales</t>
  </si>
  <si>
    <t>Sales by Region (Pivot_Region)</t>
  </si>
  <si>
    <t>📘 Project Title:</t>
  </si>
  <si>
    <t>Retail Sales Dashboard</t>
  </si>
  <si>
    <t>👤 Created By:</t>
  </si>
  <si>
    <t>📅 Date:</t>
  </si>
  <si>
    <t>📄 Purpose:</t>
  </si>
  <si>
    <t>This dashboard visualizes retail sales data to analyze revenue, profit, and trends across regions, products, and time periods.</t>
  </si>
  <si>
    <t>📂 Dataset:</t>
  </si>
  <si>
    <r>
      <t xml:space="preserve">Synthetic dataset with 321 sales records (Excel Table: </t>
    </r>
    <r>
      <rPr>
        <sz val="10"/>
        <color theme="1"/>
        <rFont val="Arial Unicode MS"/>
      </rPr>
      <t>SalesTbl</t>
    </r>
    <r>
      <rPr>
        <sz val="11"/>
        <color theme="1"/>
        <rFont val="Calibri"/>
        <family val="2"/>
        <scheme val="minor"/>
      </rPr>
      <t>).</t>
    </r>
  </si>
  <si>
    <t>📊 Pivot Tables:</t>
  </si>
  <si>
    <t>📈 Dashboard Sheet:</t>
  </si>
  <si>
    <t>Interactive dashboard showing KPIs, charts, and slicers for Region, Category, and Year.</t>
  </si>
  <si>
    <t>🎛️ How to Use:</t>
  </si>
  <si>
    <t>- Click slicers to filter charts.</t>
  </si>
  <si>
    <t>- Use “Clear Filter” icon on slicers to reset.</t>
  </si>
  <si>
    <t>- All charts and KPIs update automatically.</t>
  </si>
  <si>
    <t>🧠 Notes:</t>
  </si>
  <si>
    <t>This is a beginner-level project created for learning and portfolio purposes.</t>
  </si>
  <si>
    <t>SATISH V GOKHALE</t>
  </si>
  <si>
    <t>2024</t>
  </si>
  <si>
    <t>2025</t>
  </si>
  <si>
    <t>Monthly Sales Trend</t>
  </si>
  <si>
    <t>Top 5 Products by Sales</t>
  </si>
  <si>
    <t>Retail Sales Performance Dashboard</t>
  </si>
  <si>
    <t>(Interactive Analysis of Regional, Product, and Monthly Sales)</t>
  </si>
  <si>
    <r>
      <t xml:space="preserve">1. </t>
    </r>
    <r>
      <rPr>
        <sz val="10"/>
        <color theme="1"/>
        <rFont val="Arial Unicode MS"/>
      </rPr>
      <t>Pivot_Region</t>
    </r>
    <r>
      <rPr>
        <sz val="11"/>
        <color theme="1"/>
        <rFont val="Calibri"/>
        <family val="2"/>
        <scheme val="minor"/>
      </rPr>
      <t xml:space="preserve"> -&gt; Sales by Region</t>
    </r>
  </si>
  <si>
    <r>
      <t xml:space="preserve">2. </t>
    </r>
    <r>
      <rPr>
        <sz val="10"/>
        <color theme="1"/>
        <rFont val="Arial Unicode MS"/>
      </rPr>
      <t>Pivot_Products</t>
    </r>
    <r>
      <rPr>
        <sz val="11"/>
        <color theme="1"/>
        <rFont val="Calibri"/>
        <family val="2"/>
        <scheme val="minor"/>
      </rPr>
      <t xml:space="preserve"> -&gt; Top 5 Products by Sales</t>
    </r>
  </si>
  <si>
    <r>
      <t xml:space="preserve">3. </t>
    </r>
    <r>
      <rPr>
        <sz val="10"/>
        <color theme="1"/>
        <rFont val="Arial Unicode MS"/>
      </rPr>
      <t>Pivot_Trend</t>
    </r>
    <r>
      <rPr>
        <sz val="11"/>
        <color theme="1"/>
        <rFont val="Calibri"/>
        <family val="2"/>
        <scheme val="minor"/>
      </rPr>
      <t xml:space="preserve"> -&gt; Monthly Sales Trend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</si>
</sst>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yyyy\-mm\-dd"/>
    <numFmt numFmtId="165" formatCode="&quot;₹&quot;\ #,##0.00"/>
  </numFmts>
  <fonts count="9">
    <font>
      <sz val="11"/>
      <color theme="1"/>
      <name val="Calibri"/>
      <family val="2"/>
      <scheme val="minor"/>
    </font>
    <font>
      <b/>
      <sz val="11"/>
      <color theme="1"/>
      <name val="Calibri"/>
      <family val="2"/>
      <scheme val="minor"/>
    </font>
    <font>
      <sz val="11"/>
      <color theme="1"/>
      <name val="Calibri"/>
      <family val="2"/>
      <scheme val="minor"/>
    </font>
    <font>
      <b/>
      <sz val="16"/>
      <color theme="1"/>
      <name val="Calibri"/>
      <family val="2"/>
      <scheme val="minor"/>
    </font>
    <font>
      <sz val="10"/>
      <color theme="1"/>
      <name val="Arial Unicode MS"/>
    </font>
    <font>
      <b/>
      <sz val="14"/>
      <color theme="1"/>
      <name val="Calibri"/>
      <family val="2"/>
      <scheme val="minor"/>
    </font>
    <font>
      <sz val="14"/>
      <color theme="1"/>
      <name val="Calibri"/>
      <family val="2"/>
      <scheme val="minor"/>
    </font>
    <font>
      <b/>
      <sz val="28"/>
      <color theme="4" tint="-0.249977111117893"/>
      <name val="Calibri"/>
      <family val="2"/>
      <scheme val="minor"/>
    </font>
    <font>
      <sz val="16"/>
      <color theme="4" tint="-0.249977111117893"/>
      <name val="Calibri"/>
      <family val="2"/>
      <scheme val="minor"/>
    </font>
  </fonts>
  <fills count="3">
    <fill>
      <patternFill patternType="none"/>
    </fill>
    <fill>
      <patternFill patternType="gray125"/>
    </fill>
    <fill>
      <patternFill patternType="solid">
        <fgColor theme="3" tint="0.79998168889431442"/>
        <bgColor indexed="64"/>
      </patternFill>
    </fill>
  </fills>
  <borders count="8">
    <border>
      <left/>
      <right/>
      <top/>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2">
    <xf numFmtId="0" fontId="0" fillId="0" borderId="0"/>
    <xf numFmtId="9" fontId="2" fillId="0" borderId="0" applyFont="0" applyFill="0" applyBorder="0" applyAlignment="0" applyProtection="0"/>
  </cellStyleXfs>
  <cellXfs count="32">
    <xf numFmtId="0" fontId="0" fillId="0" borderId="0" xfId="0"/>
    <xf numFmtId="164" fontId="0" fillId="0" borderId="0" xfId="0" applyNumberFormat="1"/>
    <xf numFmtId="0" fontId="1" fillId="0" borderId="1" xfId="0" applyFont="1" applyBorder="1" applyAlignment="1">
      <alignment horizontal="center" vertical="top"/>
    </xf>
    <xf numFmtId="165" fontId="0" fillId="0" borderId="0" xfId="0" applyNumberFormat="1"/>
    <xf numFmtId="44" fontId="0" fillId="0" borderId="0" xfId="0" applyNumberFormat="1"/>
    <xf numFmtId="9" fontId="3" fillId="0" borderId="0" xfId="1" applyFont="1" applyFill="1"/>
    <xf numFmtId="2" fontId="3" fillId="0" borderId="0" xfId="0" applyNumberFormat="1" applyFont="1"/>
    <xf numFmtId="0" fontId="0" fillId="0" borderId="0" xfId="0" applyAlignment="1">
      <alignment horizontal="center" vertical="center"/>
    </xf>
    <xf numFmtId="9"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vertical="center" wrapText="1"/>
    </xf>
    <xf numFmtId="0" fontId="5" fillId="0" borderId="0" xfId="0" applyFont="1"/>
    <xf numFmtId="0" fontId="1" fillId="0" borderId="2" xfId="0" applyFont="1" applyBorder="1" applyAlignment="1">
      <alignment vertical="center" wrapText="1"/>
    </xf>
    <xf numFmtId="0" fontId="0" fillId="0" borderId="3" xfId="0" applyBorder="1" applyAlignment="1">
      <alignment vertical="center" wrapText="1"/>
    </xf>
    <xf numFmtId="0" fontId="1" fillId="0" borderId="4" xfId="0" applyFont="1" applyBorder="1" applyAlignment="1">
      <alignment vertical="center" wrapText="1"/>
    </xf>
    <xf numFmtId="0" fontId="0" fillId="0" borderId="5" xfId="0" applyBorder="1" applyAlignment="1">
      <alignment vertical="center" wrapText="1"/>
    </xf>
    <xf numFmtId="0" fontId="0" fillId="0" borderId="5" xfId="0" applyBorder="1" applyAlignment="1">
      <alignment horizontal="left" vertical="center" wrapText="1"/>
    </xf>
    <xf numFmtId="0" fontId="1" fillId="0" borderId="6" xfId="0" applyFont="1" applyBorder="1" applyAlignment="1">
      <alignment vertical="center" wrapText="1"/>
    </xf>
    <xf numFmtId="0" fontId="0" fillId="0" borderId="7" xfId="0" applyBorder="1" applyAlignment="1">
      <alignment vertical="center" wrapText="1"/>
    </xf>
    <xf numFmtId="0" fontId="0" fillId="0" borderId="0" xfId="0" applyBorder="1"/>
    <xf numFmtId="14" fontId="0" fillId="0" borderId="5" xfId="0" applyNumberFormat="1" applyBorder="1" applyAlignment="1">
      <alignment vertical="center" wrapText="1"/>
    </xf>
    <xf numFmtId="0" fontId="0" fillId="0" borderId="0" xfId="0" applyAlignment="1">
      <alignment vertical="center"/>
    </xf>
    <xf numFmtId="0" fontId="6" fillId="0" borderId="0" xfId="0" applyFont="1"/>
    <xf numFmtId="0" fontId="6" fillId="0" borderId="0" xfId="0" applyFont="1" applyAlignment="1">
      <alignment horizontal="center"/>
    </xf>
    <xf numFmtId="0" fontId="6" fillId="0" borderId="0" xfId="0" applyFont="1" applyAlignment="1">
      <alignment horizontal="center"/>
    </xf>
    <xf numFmtId="2" fontId="3" fillId="0" borderId="0" xfId="0" applyNumberFormat="1" applyFont="1" applyFill="1" applyAlignment="1">
      <alignment horizontal="center" vertical="center"/>
    </xf>
    <xf numFmtId="9" fontId="3" fillId="0" borderId="0" xfId="1" applyFont="1" applyFill="1" applyAlignment="1">
      <alignment horizontal="center" vertical="center"/>
    </xf>
    <xf numFmtId="165" fontId="3" fillId="0" borderId="0" xfId="0" applyNumberFormat="1" applyFont="1" applyFill="1" applyAlignment="1">
      <alignment horizontal="center" vertical="center"/>
    </xf>
    <xf numFmtId="0" fontId="7" fillId="2" borderId="0" xfId="0" applyFont="1" applyFill="1" applyAlignment="1">
      <alignment vertical="center"/>
    </xf>
    <xf numFmtId="0" fontId="8" fillId="0" borderId="0" xfId="0" applyFont="1" applyAlignment="1">
      <alignment vertical="center"/>
    </xf>
    <xf numFmtId="0" fontId="7" fillId="0" borderId="0" xfId="0" applyFont="1" applyFill="1" applyAlignment="1">
      <alignment vertical="center"/>
    </xf>
  </cellXfs>
  <cellStyles count="2">
    <cellStyle name="Normal" xfId="0" builtinId="0"/>
    <cellStyle name="Percent" xfId="1" builtinId="5"/>
  </cellStyles>
  <dxfs count="33">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70FC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[retail_sales_beginner.xlsx]Pivot_Region!Pivot_Region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p>
        </c:rich>
      </c:tx>
      <c:layout>
        <c:manualLayout>
          <c:xMode val="edge"/>
          <c:yMode val="edge"/>
          <c:x val="0.3640377632534495"/>
          <c:y val="8.63607730857300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62248183029409"/>
                  <c:h val="0.12128716563407281"/>
                </c:manualLayout>
              </c15:layout>
            </c:ext>
          </c:extLst>
        </c:dLbl>
      </c:pivotFmt>
      <c:pivotFmt>
        <c:idx val="2"/>
        <c:spPr>
          <a:solidFill>
            <a:schemeClr val="tx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800301923043935"/>
                  <c:h val="0.12128716563407281"/>
                </c:manualLayout>
              </c15:layout>
            </c:ext>
          </c:extLst>
        </c:dLbl>
      </c:pivotFmt>
      <c:pivotFmt>
        <c:idx val="3"/>
        <c:spPr>
          <a:solidFill>
            <a:schemeClr val="tx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71761618033039"/>
                  <c:h val="0.12128716563407281"/>
                </c:manualLayout>
              </c15:layout>
            </c:ext>
          </c:extLst>
        </c:dLbl>
      </c:pivotFmt>
    </c:pivotFmts>
    <c:plotArea>
      <c:layout/>
      <c:barChart>
        <c:barDir val="col"/>
        <c:grouping val="clustered"/>
        <c:varyColors val="0"/>
        <c:ser>
          <c:idx val="0"/>
          <c:order val="0"/>
          <c:tx>
            <c:strRef>
              <c:f>Pivot_Region!$B$3</c:f>
              <c:strCache>
                <c:ptCount val="1"/>
                <c:pt idx="0">
                  <c:v>Total</c:v>
                </c:pt>
              </c:strCache>
            </c:strRef>
          </c:tx>
          <c:spPr>
            <a:solidFill>
              <a:schemeClr val="tx2">
                <a:lumMod val="20000"/>
                <a:lumOff val="80000"/>
              </a:schemeClr>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1962248183029409"/>
                      <c:h val="0.12128716563407281"/>
                    </c:manualLayout>
                  </c15:layout>
                </c:ext>
                <c:ext xmlns:c16="http://schemas.microsoft.com/office/drawing/2014/chart" uri="{C3380CC4-5D6E-409C-BE32-E72D297353CC}">
                  <c16:uniqueId val="{00000002-BC74-4B07-8E12-8D0C49C7D8C1}"/>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0800301923043935"/>
                      <c:h val="0.12128716563407281"/>
                    </c:manualLayout>
                  </c15:layout>
                </c:ext>
                <c:ext xmlns:c16="http://schemas.microsoft.com/office/drawing/2014/chart" uri="{C3380CC4-5D6E-409C-BE32-E72D297353CC}">
                  <c16:uniqueId val="{00000003-BC74-4B07-8E12-8D0C49C7D8C1}"/>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1671761618033039"/>
                      <c:h val="0.12128716563407281"/>
                    </c:manualLayout>
                  </c15:layout>
                </c:ext>
                <c:ext xmlns:c16="http://schemas.microsoft.com/office/drawing/2014/chart" uri="{C3380CC4-5D6E-409C-BE32-E72D297353CC}">
                  <c16:uniqueId val="{00000004-BC74-4B07-8E12-8D0C49C7D8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Pivot_Region!$A$4:$A$8</c:f>
              <c:strCache>
                <c:ptCount val="4"/>
                <c:pt idx="0">
                  <c:v>East</c:v>
                </c:pt>
                <c:pt idx="1">
                  <c:v>North</c:v>
                </c:pt>
                <c:pt idx="2">
                  <c:v>South</c:v>
                </c:pt>
                <c:pt idx="3">
                  <c:v>West</c:v>
                </c:pt>
              </c:strCache>
            </c:strRef>
          </c:cat>
          <c:val>
            <c:numRef>
              <c:f>Pivot_Region!$B$4:$B$8</c:f>
              <c:numCache>
                <c:formatCode>_("₹"* #,##0.00_);_("₹"* \(#,##0.00\);_("₹"* "-"??_);_(@_)</c:formatCode>
                <c:ptCount val="4"/>
                <c:pt idx="0">
                  <c:v>11341286.369999997</c:v>
                </c:pt>
                <c:pt idx="1">
                  <c:v>7962555.1899999995</c:v>
                </c:pt>
                <c:pt idx="2">
                  <c:v>14749780.570000006</c:v>
                </c:pt>
                <c:pt idx="3">
                  <c:v>11507442.749999996</c:v>
                </c:pt>
              </c:numCache>
            </c:numRef>
          </c:val>
          <c:extLst>
            <c:ext xmlns:c16="http://schemas.microsoft.com/office/drawing/2014/chart" uri="{C3380CC4-5D6E-409C-BE32-E72D297353CC}">
              <c16:uniqueId val="{00000000-BC74-4B07-8E12-8D0C49C7D8C1}"/>
            </c:ext>
          </c:extLst>
        </c:ser>
        <c:dLbls>
          <c:dLblPos val="outEnd"/>
          <c:showLegendKey val="0"/>
          <c:showVal val="1"/>
          <c:showCatName val="0"/>
          <c:showSerName val="0"/>
          <c:showPercent val="0"/>
          <c:showBubbleSize val="0"/>
        </c:dLbls>
        <c:gapWidth val="219"/>
        <c:overlap val="-27"/>
        <c:axId val="264518128"/>
        <c:axId val="264520048"/>
      </c:barChart>
      <c:catAx>
        <c:axId val="2645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20048"/>
        <c:crosses val="autoZero"/>
        <c:auto val="1"/>
        <c:lblAlgn val="ctr"/>
        <c:lblOffset val="100"/>
        <c:noMultiLvlLbl val="0"/>
      </c:catAx>
      <c:valAx>
        <c:axId val="26452004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1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[retail_sales_beginner.xlsx]Pivot_Products!Pivot_Products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Pivot_Products!$B$3</c:f>
              <c:strCache>
                <c:ptCount val="1"/>
                <c:pt idx="0">
                  <c:v>Total</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Pivot_Products!$A$4:$A$9</c:f>
              <c:strCache>
                <c:ptCount val="5"/>
                <c:pt idx="0">
                  <c:v>Standing Desk</c:v>
                </c:pt>
                <c:pt idx="1">
                  <c:v>Mechanical Keyboard</c:v>
                </c:pt>
                <c:pt idx="2">
                  <c:v>Laptop Pro 14</c:v>
                </c:pt>
                <c:pt idx="3">
                  <c:v>Filing Cabinet</c:v>
                </c:pt>
                <c:pt idx="4">
                  <c:v>4K Monitor 27</c:v>
                </c:pt>
              </c:strCache>
            </c:strRef>
          </c:cat>
          <c:val>
            <c:numRef>
              <c:f>Pivot_Products!$B$4:$B$9</c:f>
              <c:numCache>
                <c:formatCode>_("₹"* #,##0.00_);_("₹"* \(#,##0.00\);_("₹"* "-"??_);_(@_)</c:formatCode>
                <c:ptCount val="5"/>
                <c:pt idx="0">
                  <c:v>5823701.3300000001</c:v>
                </c:pt>
                <c:pt idx="1">
                  <c:v>5328489.1199999982</c:v>
                </c:pt>
                <c:pt idx="2">
                  <c:v>4580662.2799999993</c:v>
                </c:pt>
                <c:pt idx="3">
                  <c:v>4294105.8000000007</c:v>
                </c:pt>
                <c:pt idx="4">
                  <c:v>3768768.4799999995</c:v>
                </c:pt>
              </c:numCache>
            </c:numRef>
          </c:val>
          <c:extLst>
            <c:ext xmlns:c16="http://schemas.microsoft.com/office/drawing/2014/chart" uri="{C3380CC4-5D6E-409C-BE32-E72D297353CC}">
              <c16:uniqueId val="{00000000-17F7-491F-B771-05C08FD5F7D4}"/>
            </c:ext>
          </c:extLst>
        </c:ser>
        <c:dLbls>
          <c:dLblPos val="outEnd"/>
          <c:showLegendKey val="0"/>
          <c:showVal val="1"/>
          <c:showCatName val="0"/>
          <c:showSerName val="0"/>
          <c:showPercent val="0"/>
          <c:showBubbleSize val="0"/>
        </c:dLbls>
        <c:gapWidth val="182"/>
        <c:axId val="264536848"/>
        <c:axId val="264533968"/>
      </c:barChart>
      <c:catAx>
        <c:axId val="26453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33968"/>
        <c:crosses val="autoZero"/>
        <c:auto val="1"/>
        <c:lblAlgn val="ctr"/>
        <c:lblOffset val="100"/>
        <c:noMultiLvlLbl val="0"/>
      </c:catAx>
      <c:valAx>
        <c:axId val="264533968"/>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3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algn="ctr" rotWithShape="0">
        <a:prstClr val="black">
          <a:alpha val="5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[retail_sales_beginner.xlsx]Pivot_Trends!Pivot_Trend</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Pivot_Trends!$B$3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Pivot_Trends!$A$4:$A$6</c:f>
              <c:strCache>
                <c:ptCount val="2"/>
                <c:pt idx="0">
                  <c:v>2024</c:v>
                </c:pt>
                <c:pt idx="1">
                  <c:v>2025</c:v>
                </c:pt>
              </c:strCache>
            </c:strRef>
          </c:cat>
          <c:val>
            <c:numRef>
              <c:f>Pivot_Trends!$B$4:$B$6</c:f>
              <c:numCache>
                <c:formatCode>_("₹"* #,##0.00_);_("₹"* \(#,##0.00\);_("₹"* "-"??_);_(@_)</c:formatCode>
                <c:ptCount val="2"/>
                <c:pt idx="0">
                  <c:v>29917382.139999986</c:v>
                </c:pt>
                <c:pt idx="1">
                  <c:v>15643682.739999998</c:v>
                </c:pt>
              </c:numCache>
            </c:numRef>
          </c:val>
          <c:smooth val="0"/>
          <c:extLst>
            <c:ext xmlns:c16="http://schemas.microsoft.com/office/drawing/2014/chart" uri="{C3380CC4-5D6E-409C-BE32-E72D297353CC}">
              <c16:uniqueId val="{00000000-5C55-4221-982F-1625380A4BDA}"/>
            </c:ext>
          </c:extLst>
        </c:ser>
        <c:dLbls>
          <c:dLblPos val="t"/>
          <c:showLegendKey val="0"/>
          <c:showVal val="1"/>
          <c:showCatName val="0"/>
          <c:showSerName val="0"/>
          <c:showPercent val="0"/>
          <c:showBubbleSize val="0"/>
        </c:dLbls>
        <c:smooth val="0"/>
        <c:axId val="264511888"/>
        <c:axId val="264516208"/>
      </c:lineChart>
      <c:catAx>
        <c:axId val="26451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16208"/>
        <c:crosses val="autoZero"/>
        <c:auto val="1"/>
        <c:lblAlgn val="ctr"/>
        <c:lblOffset val="100"/>
        <c:noMultiLvlLbl val="0"/>
      </c:catAx>
      <c:valAx>
        <c:axId val="26451620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1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[retail_sales_beginner.xlsx]Pivot_Region!Pivot_Region</c:name>
    <c:fmtId val="6"/>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IN"/>
              <a:t>Sales by Region</a:t>
            </a:r>
          </a:p>
        </c:rich>
      </c:tx>
      <c:layout>
        <c:manualLayout>
          <c:xMode val="edge"/>
          <c:yMode val="edge"/>
          <c:x val="0.36403769858951096"/>
          <c:y val="5.703661072951885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62248183029409"/>
                  <c:h val="0.12128716563407281"/>
                </c:manualLayout>
              </c15:layout>
            </c:ext>
          </c:extLst>
        </c:dLbl>
      </c:pivotFmt>
      <c:pivotFmt>
        <c:idx val="2"/>
        <c:spPr>
          <a:solidFill>
            <a:schemeClr val="tx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800301923043935"/>
                  <c:h val="0.12128716563407281"/>
                </c:manualLayout>
              </c15:layout>
            </c:ext>
          </c:extLst>
        </c:dLbl>
      </c:pivotFmt>
      <c:pivotFmt>
        <c:idx val="3"/>
        <c:spPr>
          <a:solidFill>
            <a:schemeClr val="tx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71761618033039"/>
                  <c:h val="0.12128716563407281"/>
                </c:manualLayout>
              </c15:layout>
            </c:ext>
          </c:extLst>
        </c:dLbl>
      </c:pivotFmt>
      <c:pivotFmt>
        <c:idx val="4"/>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62248183029409"/>
                  <c:h val="0.12128716563407281"/>
                </c:manualLayout>
              </c15:layout>
            </c:ext>
          </c:extLst>
        </c:dLbl>
      </c:pivotFmt>
      <c:pivotFmt>
        <c:idx val="6"/>
        <c:spPr>
          <a:solidFill>
            <a:schemeClr val="tx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800301923043935"/>
                  <c:h val="0.12128716563407281"/>
                </c:manualLayout>
              </c15:layout>
            </c:ext>
          </c:extLst>
        </c:dLbl>
      </c:pivotFmt>
      <c:pivotFmt>
        <c:idx val="7"/>
        <c:spPr>
          <a:solidFill>
            <a:schemeClr val="tx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71761618033039"/>
                  <c:h val="0.12128716563407281"/>
                </c:manualLayout>
              </c15:layout>
            </c:ext>
          </c:extLst>
        </c:dLbl>
      </c:pivotFmt>
      <c:pivotFmt>
        <c:idx val="8"/>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62248183029409"/>
                  <c:h val="0.12128716563407281"/>
                </c:manualLayout>
              </c15:layout>
            </c:ext>
          </c:extLst>
        </c:dLbl>
      </c:pivotFmt>
      <c:pivotFmt>
        <c:idx val="10"/>
        <c:spPr>
          <a:solidFill>
            <a:schemeClr val="tx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800301923043935"/>
                  <c:h val="0.12128716563407281"/>
                </c:manualLayout>
              </c15:layout>
            </c:ext>
          </c:extLst>
        </c:dLbl>
      </c:pivotFmt>
      <c:pivotFmt>
        <c:idx val="11"/>
        <c:spPr>
          <a:solidFill>
            <a:schemeClr val="tx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71761618033039"/>
                  <c:h val="0.12128716563407281"/>
                </c:manualLayout>
              </c15:layout>
            </c:ext>
          </c:extLst>
        </c:dLbl>
      </c:pivotFmt>
    </c:pivotFmts>
    <c:plotArea>
      <c:layout/>
      <c:barChart>
        <c:barDir val="col"/>
        <c:grouping val="clustered"/>
        <c:varyColors val="0"/>
        <c:ser>
          <c:idx val="0"/>
          <c:order val="0"/>
          <c:tx>
            <c:strRef>
              <c:f>Pivot_Region!$B$3</c:f>
              <c:strCache>
                <c:ptCount val="1"/>
                <c:pt idx="0">
                  <c:v>Total</c:v>
                </c:pt>
              </c:strCache>
            </c:strRef>
          </c:tx>
          <c:spPr>
            <a:solidFill>
              <a:schemeClr val="tx2">
                <a:lumMod val="20000"/>
                <a:lumOff val="8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62248183029409"/>
                      <c:h val="0.12128716563407281"/>
                    </c:manualLayout>
                  </c15:layout>
                </c:ext>
                <c:ext xmlns:c16="http://schemas.microsoft.com/office/drawing/2014/chart" uri="{C3380CC4-5D6E-409C-BE32-E72D297353CC}">
                  <c16:uniqueId val="{00000000-7EF3-4C40-B89B-2796CC5C4395}"/>
                </c:ext>
              </c:extLst>
            </c:dLbl>
            <c:dLbl>
              <c:idx val="2"/>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800301923043935"/>
                      <c:h val="0.12128716563407281"/>
                    </c:manualLayout>
                  </c15:layout>
                </c:ext>
                <c:ext xmlns:c16="http://schemas.microsoft.com/office/drawing/2014/chart" uri="{C3380CC4-5D6E-409C-BE32-E72D297353CC}">
                  <c16:uniqueId val="{00000001-7EF3-4C40-B89B-2796CC5C4395}"/>
                </c:ext>
              </c:extLst>
            </c:dLbl>
            <c:dLbl>
              <c:idx val="3"/>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71761618033039"/>
                      <c:h val="0.12128716563407281"/>
                    </c:manualLayout>
                  </c15:layout>
                </c:ext>
                <c:ext xmlns:c16="http://schemas.microsoft.com/office/drawing/2014/chart" uri="{C3380CC4-5D6E-409C-BE32-E72D297353CC}">
                  <c16:uniqueId val="{00000002-7EF3-4C40-B89B-2796CC5C4395}"/>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Pivot_Region!$A$4:$A$8</c:f>
              <c:strCache>
                <c:ptCount val="4"/>
                <c:pt idx="0">
                  <c:v>East</c:v>
                </c:pt>
                <c:pt idx="1">
                  <c:v>North</c:v>
                </c:pt>
                <c:pt idx="2">
                  <c:v>South</c:v>
                </c:pt>
                <c:pt idx="3">
                  <c:v>West</c:v>
                </c:pt>
              </c:strCache>
            </c:strRef>
          </c:cat>
          <c:val>
            <c:numRef>
              <c:f>Pivot_Region!$B$4:$B$8</c:f>
              <c:numCache>
                <c:formatCode>_("₹"* #,##0.00_);_("₹"* \(#,##0.00\);_("₹"* "-"??_);_(@_)</c:formatCode>
                <c:ptCount val="4"/>
                <c:pt idx="0">
                  <c:v>11341286.369999997</c:v>
                </c:pt>
                <c:pt idx="1">
                  <c:v>7962555.1899999995</c:v>
                </c:pt>
                <c:pt idx="2">
                  <c:v>14749780.570000006</c:v>
                </c:pt>
                <c:pt idx="3">
                  <c:v>11507442.749999996</c:v>
                </c:pt>
              </c:numCache>
            </c:numRef>
          </c:val>
          <c:extLst>
            <c:ext xmlns:c16="http://schemas.microsoft.com/office/drawing/2014/chart" uri="{C3380CC4-5D6E-409C-BE32-E72D297353CC}">
              <c16:uniqueId val="{00000003-7EF3-4C40-B89B-2796CC5C4395}"/>
            </c:ext>
          </c:extLst>
        </c:ser>
        <c:dLbls>
          <c:dLblPos val="outEnd"/>
          <c:showLegendKey val="0"/>
          <c:showVal val="1"/>
          <c:showCatName val="0"/>
          <c:showSerName val="0"/>
          <c:showPercent val="0"/>
          <c:showBubbleSize val="0"/>
        </c:dLbls>
        <c:gapWidth val="219"/>
        <c:overlap val="-27"/>
        <c:axId val="264518128"/>
        <c:axId val="264520048"/>
      </c:barChart>
      <c:catAx>
        <c:axId val="2645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64520048"/>
        <c:crosses val="autoZero"/>
        <c:auto val="1"/>
        <c:lblAlgn val="ctr"/>
        <c:lblOffset val="100"/>
        <c:noMultiLvlLbl val="0"/>
      </c:catAx>
      <c:valAx>
        <c:axId val="26452004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6451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[retail_sales_beginner.xlsx]Pivot_Products!Pivot_Products</c:name>
    <c:fmtId val="7"/>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Top 5 Products by Sales</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Pivot_Products!$B$3</c:f>
              <c:strCache>
                <c:ptCount val="1"/>
                <c:pt idx="0">
                  <c:v>Total</c:v>
                </c:pt>
              </c:strCache>
            </c:strRef>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Pivot_Products!$A$4:$A$9</c:f>
              <c:strCache>
                <c:ptCount val="5"/>
                <c:pt idx="0">
                  <c:v>Standing Desk</c:v>
                </c:pt>
                <c:pt idx="1">
                  <c:v>Mechanical Keyboard</c:v>
                </c:pt>
                <c:pt idx="2">
                  <c:v>Laptop Pro 14</c:v>
                </c:pt>
                <c:pt idx="3">
                  <c:v>Filing Cabinet</c:v>
                </c:pt>
                <c:pt idx="4">
                  <c:v>4K Monitor 27</c:v>
                </c:pt>
              </c:strCache>
            </c:strRef>
          </c:cat>
          <c:val>
            <c:numRef>
              <c:f>Pivot_Products!$B$4:$B$9</c:f>
              <c:numCache>
                <c:formatCode>_("₹"* #,##0.00_);_("₹"* \(#,##0.00\);_("₹"* "-"??_);_(@_)</c:formatCode>
                <c:ptCount val="5"/>
                <c:pt idx="0">
                  <c:v>5823701.3300000001</c:v>
                </c:pt>
                <c:pt idx="1">
                  <c:v>5328489.1199999982</c:v>
                </c:pt>
                <c:pt idx="2">
                  <c:v>4580662.2799999993</c:v>
                </c:pt>
                <c:pt idx="3">
                  <c:v>4294105.8000000007</c:v>
                </c:pt>
                <c:pt idx="4">
                  <c:v>3768768.4799999995</c:v>
                </c:pt>
              </c:numCache>
            </c:numRef>
          </c:val>
          <c:extLst>
            <c:ext xmlns:c16="http://schemas.microsoft.com/office/drawing/2014/chart" uri="{C3380CC4-5D6E-409C-BE32-E72D297353CC}">
              <c16:uniqueId val="{00000000-DC33-447B-8527-A215F26354B7}"/>
            </c:ext>
          </c:extLst>
        </c:ser>
        <c:dLbls>
          <c:dLblPos val="outEnd"/>
          <c:showLegendKey val="0"/>
          <c:showVal val="1"/>
          <c:showCatName val="0"/>
          <c:showSerName val="0"/>
          <c:showPercent val="0"/>
          <c:showBubbleSize val="0"/>
        </c:dLbls>
        <c:gapWidth val="182"/>
        <c:axId val="264536848"/>
        <c:axId val="264533968"/>
      </c:barChart>
      <c:catAx>
        <c:axId val="26453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64533968"/>
        <c:crosses val="autoZero"/>
        <c:auto val="1"/>
        <c:lblAlgn val="ctr"/>
        <c:lblOffset val="100"/>
        <c:noMultiLvlLbl val="0"/>
      </c:catAx>
      <c:valAx>
        <c:axId val="264533968"/>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64536848"/>
        <c:crosses val="autoZero"/>
        <c:crossBetween val="between"/>
        <c:dispUnits>
          <c:builtInUnit val="hundre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algn="ctr" rotWithShape="0">
        <a:prstClr val="black">
          <a:alpha val="50000"/>
        </a:prstClr>
      </a:outerShdw>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[retail_sales_beginner.xlsx]Pivot_Trends!Pivot_Trend</c:name>
    <c:fmtId val="14"/>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IN"/>
              <a:t>Monthly Sales Trend</a:t>
            </a:r>
          </a:p>
        </c:rich>
      </c:tx>
      <c:layout>
        <c:manualLayout>
          <c:xMode val="edge"/>
          <c:yMode val="edge"/>
          <c:x val="0.35832799266323828"/>
          <c:y val="7.2253878037064623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tx2">
                <a:lumMod val="20000"/>
                <a:lumOff val="80000"/>
              </a:schemeClr>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Pivot_Trends!$B$3</c:f>
              <c:strCache>
                <c:ptCount val="1"/>
                <c:pt idx="0">
                  <c:v>Total</c:v>
                </c:pt>
              </c:strCache>
            </c:strRef>
          </c:tx>
          <c:spPr>
            <a:ln w="38100" cap="rnd">
              <a:solidFill>
                <a:schemeClr val="tx2">
                  <a:lumMod val="20000"/>
                  <a:lumOff val="80000"/>
                </a:schemeClr>
              </a:solidFill>
              <a:round/>
            </a:ln>
            <a:effectLst/>
          </c:spPr>
          <c:marker>
            <c:symbol val="none"/>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Pivot_Trends!$A$4:$A$6</c:f>
              <c:strCache>
                <c:ptCount val="2"/>
                <c:pt idx="0">
                  <c:v>2024</c:v>
                </c:pt>
                <c:pt idx="1">
                  <c:v>2025</c:v>
                </c:pt>
              </c:strCache>
            </c:strRef>
          </c:cat>
          <c:val>
            <c:numRef>
              <c:f>Pivot_Trends!$B$4:$B$6</c:f>
              <c:numCache>
                <c:formatCode>_("₹"* #,##0.00_);_("₹"* \(#,##0.00\);_("₹"* "-"??_);_(@_)</c:formatCode>
                <c:ptCount val="2"/>
                <c:pt idx="0">
                  <c:v>29917382.139999986</c:v>
                </c:pt>
                <c:pt idx="1">
                  <c:v>15643682.739999998</c:v>
                </c:pt>
              </c:numCache>
            </c:numRef>
          </c:val>
          <c:smooth val="0"/>
          <c:extLst>
            <c:ext xmlns:c16="http://schemas.microsoft.com/office/drawing/2014/chart" uri="{C3380CC4-5D6E-409C-BE32-E72D297353CC}">
              <c16:uniqueId val="{00000000-4221-4456-A251-FBA9A81A71FE}"/>
            </c:ext>
          </c:extLst>
        </c:ser>
        <c:dLbls>
          <c:dLblPos val="t"/>
          <c:showLegendKey val="0"/>
          <c:showVal val="1"/>
          <c:showCatName val="0"/>
          <c:showSerName val="0"/>
          <c:showPercent val="0"/>
          <c:showBubbleSize val="0"/>
        </c:dLbls>
        <c:smooth val="0"/>
        <c:axId val="264511888"/>
        <c:axId val="264516208"/>
      </c:lineChart>
      <c:catAx>
        <c:axId val="26451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64516208"/>
        <c:crosses val="autoZero"/>
        <c:auto val="1"/>
        <c:lblAlgn val="ctr"/>
        <c:lblOffset val="100"/>
        <c:noMultiLvlLbl val="0"/>
      </c:catAx>
      <c:valAx>
        <c:axId val="26451620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6451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333374</xdr:colOff>
      <xdr:row>6</xdr:row>
      <xdr:rowOff>4762</xdr:rowOff>
    </xdr:from>
    <xdr:to>
      <xdr:col>7</xdr:col>
      <xdr:colOff>504824</xdr:colOff>
      <xdr:row>19</xdr:row>
      <xdr:rowOff>142875</xdr:rowOff>
    </xdr:to>
    <xdr:graphicFrame macro="">
      <xdr:nvGraphicFramePr>
        <xdr:cNvPr id="2" name="Chart 1">
          <a:extLst>
            <a:ext uri="{FF2B5EF4-FFF2-40B4-BE49-F238E27FC236}">
              <a16:creationId xmlns:a16="http://schemas.microsoft.com/office/drawing/2014/main" id="{E5101C30-FE5E-16B1-5219-75441D257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76200</xdr:colOff>
      <xdr:row>6</xdr:row>
      <xdr:rowOff>0</xdr:rowOff>
    </xdr:from>
    <xdr:to>
      <xdr:col>12</xdr:col>
      <xdr:colOff>76200</xdr:colOff>
      <xdr:row>19</xdr:row>
      <xdr:rowOff>47625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925C0029-4C55-75EB-AD7D-6ABAFFF97E5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72225" y="1190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466725</xdr:colOff>
      <xdr:row>6</xdr:row>
      <xdr:rowOff>9525</xdr:rowOff>
    </xdr:from>
    <xdr:to>
      <xdr:col>15</xdr:col>
      <xdr:colOff>466725</xdr:colOff>
      <xdr:row>19</xdr:row>
      <xdr:rowOff>57150</xdr:rowOff>
    </xdr:to>
    <mc:AlternateContent xmlns:mc="http://schemas.openxmlformats.org/markup-compatibility/2006">
      <mc:Choice xmlns:a14="http://schemas.microsoft.com/office/drawing/2010/main" Requires="a14">
        <xdr:graphicFrame macro="">
          <xdr:nvGraphicFramePr>
            <xdr:cNvPr id="4" name="Product Category">
              <a:extLst>
                <a:ext uri="{FF2B5EF4-FFF2-40B4-BE49-F238E27FC236}">
                  <a16:creationId xmlns:a16="http://schemas.microsoft.com/office/drawing/2014/main" id="{6356595A-4398-D09B-2022-EF94E6DEDB2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8591550" y="1200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171450</xdr:colOff>
      <xdr:row>6</xdr:row>
      <xdr:rowOff>9525</xdr:rowOff>
    </xdr:from>
    <xdr:to>
      <xdr:col>19</xdr:col>
      <xdr:colOff>171450</xdr:colOff>
      <xdr:row>19</xdr:row>
      <xdr:rowOff>57150</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931EAA7B-74BF-F103-ADE1-E687271C49F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734675" y="1200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476250</xdr:colOff>
      <xdr:row>2</xdr:row>
      <xdr:rowOff>0</xdr:rowOff>
    </xdr:from>
    <xdr:to>
      <xdr:col>15</xdr:col>
      <xdr:colOff>238125</xdr:colOff>
      <xdr:row>16</xdr:row>
      <xdr:rowOff>104775</xdr:rowOff>
    </xdr:to>
    <xdr:graphicFrame macro="">
      <xdr:nvGraphicFramePr>
        <xdr:cNvPr id="2" name="Chart 1">
          <a:extLst>
            <a:ext uri="{FF2B5EF4-FFF2-40B4-BE49-F238E27FC236}">
              <a16:creationId xmlns:a16="http://schemas.microsoft.com/office/drawing/2014/main" id="{DA9242D0-7177-C3DB-2BC9-17BD62B02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257175</xdr:colOff>
      <xdr:row>4</xdr:row>
      <xdr:rowOff>166687</xdr:rowOff>
    </xdr:from>
    <xdr:to>
      <xdr:col>11</xdr:col>
      <xdr:colOff>561975</xdr:colOff>
      <xdr:row>19</xdr:row>
      <xdr:rowOff>52387</xdr:rowOff>
    </xdr:to>
    <xdr:graphicFrame macro="">
      <xdr:nvGraphicFramePr>
        <xdr:cNvPr id="4" name="Chart 3">
          <a:extLst>
            <a:ext uri="{FF2B5EF4-FFF2-40B4-BE49-F238E27FC236}">
              <a16:creationId xmlns:a16="http://schemas.microsoft.com/office/drawing/2014/main" id="{8EFE7FBA-0C75-F0F9-88E6-6E34C597F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595312</xdr:colOff>
      <xdr:row>5</xdr:row>
      <xdr:rowOff>5225</xdr:rowOff>
    </xdr:from>
    <xdr:to>
      <xdr:col>16</xdr:col>
      <xdr:colOff>52388</xdr:colOff>
      <xdr:row>8</xdr:row>
      <xdr:rowOff>140493</xdr:rowOff>
    </xdr:to>
    <xdr:grpSp>
      <xdr:nvGrpSpPr>
        <xdr:cNvPr id="32" name="Group 31">
          <a:extLst>
            <a:ext uri="{FF2B5EF4-FFF2-40B4-BE49-F238E27FC236}">
              <a16:creationId xmlns:a16="http://schemas.microsoft.com/office/drawing/2014/main" id="{C631E192-A4E2-C03A-5CEE-988A52F0DE48}"/>
            </a:ext>
          </a:extLst>
        </xdr:cNvPr>
        <xdr:cNvGrpSpPr/>
      </xdr:nvGrpSpPr>
      <xdr:grpSpPr>
        <a:xfrm>
          <a:off x="1595437" y="1453025"/>
          <a:ext cx="10744201" cy="859168"/>
          <a:chOff x="4383881" y="383845"/>
          <a:chExt cx="10614137" cy="785813"/>
        </a:xfrm>
      </xdr:grpSpPr>
      <xdr:sp macro="" textlink="Dashboard!$XFD$2">
        <xdr:nvSpPr>
          <xdr:cNvPr id="2" name="Rectangle: Rounded Corners 1">
            <a:extLst>
              <a:ext uri="{FF2B5EF4-FFF2-40B4-BE49-F238E27FC236}">
                <a16:creationId xmlns:a16="http://schemas.microsoft.com/office/drawing/2014/main" id="{B97A957F-4226-28BB-1C44-E9FB2CFD295C}"/>
              </a:ext>
            </a:extLst>
          </xdr:cNvPr>
          <xdr:cNvSpPr/>
        </xdr:nvSpPr>
        <xdr:spPr>
          <a:xfrm>
            <a:off x="4383881" y="383845"/>
            <a:ext cx="2314575" cy="785813"/>
          </a:xfrm>
          <a:prstGeom prst="roundRect">
            <a:avLst>
              <a:gd name="adj" fmla="val 18998"/>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chemeClr val="tx1">
                    <a:lumMod val="85000"/>
                    <a:lumOff val="15000"/>
                  </a:schemeClr>
                </a:solidFill>
                <a:latin typeface="Calibri"/>
                <a:cs typeface="Calibri"/>
              </a:rPr>
              <a:t>Total Sales</a:t>
            </a:r>
          </a:p>
          <a:p>
            <a:pPr algn="ctr"/>
            <a:fld id="{540DF94D-F44F-41B5-8C5A-1A53EB7F75E1}" type="TxLink">
              <a:rPr lang="en-US" sz="2200" b="1" i="0" u="none" strike="noStrike">
                <a:solidFill>
                  <a:srgbClr val="000000"/>
                </a:solidFill>
                <a:latin typeface="Calibri"/>
                <a:cs typeface="Calibri"/>
              </a:rPr>
              <a:pPr algn="ctr"/>
              <a:t> ₹ 4,55,61,064.88 </a:t>
            </a:fld>
            <a:endParaRPr lang="en-IN" sz="2200" b="1"/>
          </a:p>
        </xdr:txBody>
      </xdr:sp>
      <xdr:sp macro="" textlink="Dashboard!$XFD$3">
        <xdr:nvSpPr>
          <xdr:cNvPr id="8" name="Rectangle: Rounded Corners 7">
            <a:extLst>
              <a:ext uri="{FF2B5EF4-FFF2-40B4-BE49-F238E27FC236}">
                <a16:creationId xmlns:a16="http://schemas.microsoft.com/office/drawing/2014/main" id="{A045F80B-6A52-518A-9799-6C454A25D754}"/>
              </a:ext>
            </a:extLst>
          </xdr:cNvPr>
          <xdr:cNvSpPr/>
        </xdr:nvSpPr>
        <xdr:spPr>
          <a:xfrm>
            <a:off x="7147649" y="383845"/>
            <a:ext cx="2321719" cy="785813"/>
          </a:xfrm>
          <a:prstGeom prst="roundRect">
            <a:avLst>
              <a:gd name="adj" fmla="val 18998"/>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cs typeface="Calibri"/>
              </a:rPr>
              <a:t>Total</a:t>
            </a:r>
            <a:r>
              <a:rPr lang="en-US" sz="1100" b="0" i="0" u="none" strike="noStrike" baseline="0">
                <a:solidFill>
                  <a:srgbClr val="000000"/>
                </a:solidFill>
                <a:latin typeface="Calibri"/>
                <a:cs typeface="Calibri"/>
              </a:rPr>
              <a:t> Profit</a:t>
            </a:r>
            <a:endParaRPr lang="en-US" sz="1100" b="0" i="0" u="none" strike="noStrike">
              <a:solidFill>
                <a:srgbClr val="000000"/>
              </a:solidFill>
              <a:latin typeface="Calibri"/>
              <a:cs typeface="Calibri"/>
            </a:endParaRPr>
          </a:p>
          <a:p>
            <a:pPr algn="ctr"/>
            <a:fld id="{E02CC6B4-802E-47E7-9B46-67A7DBAD1BFC}" type="TxLink">
              <a:rPr lang="en-US" sz="2200" b="1" i="0" u="none" strike="noStrike">
                <a:solidFill>
                  <a:srgbClr val="000000"/>
                </a:solidFill>
                <a:latin typeface="Calibri"/>
                <a:cs typeface="Calibri"/>
              </a:rPr>
              <a:t>₹ 72,10,036.22</a:t>
            </a:fld>
            <a:endParaRPr lang="en-IN" sz="2200" b="1"/>
          </a:p>
        </xdr:txBody>
      </xdr:sp>
      <xdr:sp macro="" textlink="Dashboard!$XFD$4">
        <xdr:nvSpPr>
          <xdr:cNvPr id="9" name="Rectangle: Rounded Corners 8">
            <a:extLst>
              <a:ext uri="{FF2B5EF4-FFF2-40B4-BE49-F238E27FC236}">
                <a16:creationId xmlns:a16="http://schemas.microsoft.com/office/drawing/2014/main" id="{AADA1E5B-E09D-FE64-43DE-A1003B41D479}"/>
              </a:ext>
            </a:extLst>
          </xdr:cNvPr>
          <xdr:cNvSpPr/>
        </xdr:nvSpPr>
        <xdr:spPr>
          <a:xfrm>
            <a:off x="9918561" y="383845"/>
            <a:ext cx="2315689" cy="760083"/>
          </a:xfrm>
          <a:prstGeom prst="roundRect">
            <a:avLst>
              <a:gd name="adj" fmla="val 18998"/>
            </a:avLst>
          </a:prstGeom>
          <a:solidFill>
            <a:srgbClr val="70FC9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cs typeface="Calibri"/>
              </a:rPr>
              <a:t>Profit Margin</a:t>
            </a:r>
            <a:r>
              <a:rPr lang="en-US" sz="1100" b="0" i="0" u="none" strike="noStrike" baseline="0">
                <a:solidFill>
                  <a:srgbClr val="000000"/>
                </a:solidFill>
                <a:latin typeface="Calibri"/>
                <a:cs typeface="Calibri"/>
              </a:rPr>
              <a:t> %</a:t>
            </a:r>
            <a:endParaRPr lang="en-US" sz="1100" b="0" i="0" u="none" strike="noStrike">
              <a:solidFill>
                <a:srgbClr val="000000"/>
              </a:solidFill>
              <a:latin typeface="Calibri"/>
              <a:cs typeface="Calibri"/>
            </a:endParaRPr>
          </a:p>
          <a:p>
            <a:pPr algn="ctr"/>
            <a:fld id="{BFEE664E-5A67-4A10-9D9C-9705CE6BE965}" type="TxLink">
              <a:rPr lang="en-US" sz="2200" b="1" i="0" u="none" strike="noStrike">
                <a:solidFill>
                  <a:srgbClr val="000000"/>
                </a:solidFill>
                <a:latin typeface="Calibri"/>
                <a:cs typeface="Calibri"/>
              </a:rPr>
              <a:t>16%</a:t>
            </a:fld>
            <a:endParaRPr lang="en-IN" sz="2200" b="1"/>
          </a:p>
        </xdr:txBody>
      </xdr:sp>
      <xdr:sp macro="" textlink="Dashboard!$XFD$5">
        <xdr:nvSpPr>
          <xdr:cNvPr id="10" name="Rectangle: Rounded Corners 9">
            <a:extLst>
              <a:ext uri="{FF2B5EF4-FFF2-40B4-BE49-F238E27FC236}">
                <a16:creationId xmlns:a16="http://schemas.microsoft.com/office/drawing/2014/main" id="{B257A144-0225-8D38-D189-CA5EE2342623}"/>
              </a:ext>
            </a:extLst>
          </xdr:cNvPr>
          <xdr:cNvSpPr/>
        </xdr:nvSpPr>
        <xdr:spPr>
          <a:xfrm>
            <a:off x="12683444" y="383845"/>
            <a:ext cx="2314574" cy="760083"/>
          </a:xfrm>
          <a:prstGeom prst="roundRect">
            <a:avLst>
              <a:gd name="adj" fmla="val 21379"/>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cs typeface="Calibri"/>
              </a:rPr>
              <a:t>Total Orders</a:t>
            </a:r>
          </a:p>
          <a:p>
            <a:pPr algn="ctr"/>
            <a:fld id="{DFD2CE96-7FC8-4C2F-860F-C4B25776CEB9}" type="TxLink">
              <a:rPr lang="en-US" sz="2200" b="1" i="0" u="none" strike="noStrike">
                <a:solidFill>
                  <a:srgbClr val="000000"/>
                </a:solidFill>
                <a:latin typeface="Calibri"/>
                <a:cs typeface="Calibri"/>
              </a:rPr>
              <a:t>320</a:t>
            </a:fld>
            <a:endParaRPr lang="en-IN" sz="2200" b="1"/>
          </a:p>
        </xdr:txBody>
      </xdr:sp>
    </xdr:grpSp>
    <xdr:clientData/>
  </xdr:twoCellAnchor>
  <xdr:twoCellAnchor>
    <xdr:from>
      <xdr:col>1</xdr:col>
      <xdr:colOff>761996</xdr:colOff>
      <xdr:row>21</xdr:row>
      <xdr:rowOff>169997</xdr:rowOff>
    </xdr:from>
    <xdr:to>
      <xdr:col>7</xdr:col>
      <xdr:colOff>154778</xdr:colOff>
      <xdr:row>35</xdr:row>
      <xdr:rowOff>171319</xdr:rowOff>
    </xdr:to>
    <xdr:graphicFrame macro="">
      <xdr:nvGraphicFramePr>
        <xdr:cNvPr id="33" name="Chart 32">
          <a:extLst>
            <a:ext uri="{FF2B5EF4-FFF2-40B4-BE49-F238E27FC236}">
              <a16:creationId xmlns:a16="http://schemas.microsoft.com/office/drawing/2014/main" id="{F7822A37-BC22-4085-8C86-AD1D1258C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226219</xdr:colOff>
      <xdr:row>37</xdr:row>
      <xdr:rowOff>38351</xdr:rowOff>
    </xdr:from>
    <xdr:to>
      <xdr:col>16</xdr:col>
      <xdr:colOff>35719</xdr:colOff>
      <xdr:row>55</xdr:row>
      <xdr:rowOff>1</xdr:rowOff>
    </xdr:to>
    <xdr:graphicFrame macro="">
      <xdr:nvGraphicFramePr>
        <xdr:cNvPr id="34" name="Chart 33">
          <a:extLst>
            <a:ext uri="{FF2B5EF4-FFF2-40B4-BE49-F238E27FC236}">
              <a16:creationId xmlns:a16="http://schemas.microsoft.com/office/drawing/2014/main" id="{85D51DC9-240A-48E4-94D1-772EAEA0F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1076843</xdr:colOff>
      <xdr:row>21</xdr:row>
      <xdr:rowOff>165365</xdr:rowOff>
    </xdr:from>
    <xdr:to>
      <xdr:col>15</xdr:col>
      <xdr:colOff>154773</xdr:colOff>
      <xdr:row>35</xdr:row>
      <xdr:rowOff>175952</xdr:rowOff>
    </xdr:to>
    <xdr:graphicFrame macro="">
      <xdr:nvGraphicFramePr>
        <xdr:cNvPr id="36" name="Chart 35">
          <a:extLst>
            <a:ext uri="{FF2B5EF4-FFF2-40B4-BE49-F238E27FC236}">
              <a16:creationId xmlns:a16="http://schemas.microsoft.com/office/drawing/2014/main" id="{8D59A088-8702-498A-A919-D9429C074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202409</xdr:colOff>
      <xdr:row>11</xdr:row>
      <xdr:rowOff>142875</xdr:rowOff>
    </xdr:from>
    <xdr:to>
      <xdr:col>12</xdr:col>
      <xdr:colOff>178593</xdr:colOff>
      <xdr:row>20</xdr:row>
      <xdr:rowOff>0</xdr:rowOff>
    </xdr:to>
    <xdr:sp macro="" textlink="">
      <xdr:nvSpPr>
        <xdr:cNvPr id="40" name="Rectangle: Rounded Corners 39">
          <a:extLst>
            <a:ext uri="{FF2B5EF4-FFF2-40B4-BE49-F238E27FC236}">
              <a16:creationId xmlns:a16="http://schemas.microsoft.com/office/drawing/2014/main" id="{CD2624BD-D25F-4EAC-207E-51CD8828368A}"/>
            </a:ext>
          </a:extLst>
        </xdr:cNvPr>
        <xdr:cNvSpPr/>
      </xdr:nvSpPr>
      <xdr:spPr>
        <a:xfrm>
          <a:off x="4357690" y="2857500"/>
          <a:ext cx="5643559" cy="1571625"/>
        </a:xfrm>
        <a:prstGeom prst="roundRect">
          <a:avLst/>
        </a:prstGeom>
        <a:solidFill>
          <a:schemeClr val="bg1">
            <a:lumMod val="95000"/>
          </a:schemeClr>
        </a:solidFill>
        <a:ln w="12700">
          <a:solidFill>
            <a:schemeClr val="accent1">
              <a:lumMod val="75000"/>
            </a:schemeClr>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90681</xdr:colOff>
      <xdr:row>12</xdr:row>
      <xdr:rowOff>42864</xdr:rowOff>
    </xdr:from>
    <xdr:to>
      <xdr:col>9</xdr:col>
      <xdr:colOff>269275</xdr:colOff>
      <xdr:row>19</xdr:row>
      <xdr:rowOff>115900</xdr:rowOff>
    </xdr:to>
    <mc:AlternateContent xmlns:mc="http://schemas.openxmlformats.org/markup-compatibility/2006">
      <mc:Choice xmlns:a14="http://schemas.microsoft.com/office/drawing/2010/main" Requires="a14">
        <xdr:graphicFrame macro="">
          <xdr:nvGraphicFramePr>
            <xdr:cNvPr id="38" name="Product Category 1">
              <a:extLst>
                <a:ext uri="{FF2B5EF4-FFF2-40B4-BE49-F238E27FC236}">
                  <a16:creationId xmlns:a16="http://schemas.microsoft.com/office/drawing/2014/main" id="{21C8CDB7-E0AB-448D-BFC6-BF86B750058E}"/>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6081906" y="2976564"/>
              <a:ext cx="2207419" cy="1406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395674</xdr:colOff>
      <xdr:row>12</xdr:row>
      <xdr:rowOff>42864</xdr:rowOff>
    </xdr:from>
    <xdr:to>
      <xdr:col>12</xdr:col>
      <xdr:colOff>23813</xdr:colOff>
      <xdr:row>19</xdr:row>
      <xdr:rowOff>120588</xdr:rowOff>
    </xdr:to>
    <mc:AlternateContent xmlns:mc="http://schemas.openxmlformats.org/markup-compatibility/2006">
      <mc:Choice xmlns:a14="http://schemas.microsoft.com/office/drawing/2010/main" Requires="a14">
        <xdr:graphicFrame macro="">
          <xdr:nvGraphicFramePr>
            <xdr:cNvPr id="39" name="Year 1">
              <a:extLst>
                <a:ext uri="{FF2B5EF4-FFF2-40B4-BE49-F238E27FC236}">
                  <a16:creationId xmlns:a16="http://schemas.microsoft.com/office/drawing/2014/main" id="{B6AD8560-6F81-4DD5-A47E-C6C60E96290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415724" y="2976564"/>
              <a:ext cx="1456939" cy="1411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309563</xdr:colOff>
      <xdr:row>12</xdr:row>
      <xdr:rowOff>42864</xdr:rowOff>
    </xdr:from>
    <xdr:to>
      <xdr:col>6</xdr:col>
      <xdr:colOff>571500</xdr:colOff>
      <xdr:row>19</xdr:row>
      <xdr:rowOff>131103</xdr:rowOff>
    </xdr:to>
    <mc:AlternateContent xmlns:mc="http://schemas.openxmlformats.org/markup-compatibility/2006">
      <mc:Choice xmlns:a14="http://schemas.microsoft.com/office/drawing/2010/main" Requires="a14">
        <xdr:graphicFrame macro="">
          <xdr:nvGraphicFramePr>
            <xdr:cNvPr id="41" name="Region 2">
              <a:extLst>
                <a:ext uri="{FF2B5EF4-FFF2-40B4-BE49-F238E27FC236}">
                  <a16:creationId xmlns:a16="http://schemas.microsoft.com/office/drawing/2014/main" id="{E025E7F7-1DEC-9F78-452C-3D65ABE1709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4471988" y="2976564"/>
              <a:ext cx="1481137" cy="1421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162719</xdr:colOff>
      <xdr:row>11</xdr:row>
      <xdr:rowOff>154780</xdr:rowOff>
    </xdr:from>
    <xdr:to>
      <xdr:col>15</xdr:col>
      <xdr:colOff>127000</xdr:colOff>
      <xdr:row>14</xdr:row>
      <xdr:rowOff>119063</xdr:rowOff>
    </xdr:to>
    <xdr:sp macro="" textlink="">
      <xdr:nvSpPr>
        <xdr:cNvPr id="43" name="Rectangle: Rounded Corners 42">
          <a:extLst>
            <a:ext uri="{FF2B5EF4-FFF2-40B4-BE49-F238E27FC236}">
              <a16:creationId xmlns:a16="http://schemas.microsoft.com/office/drawing/2014/main" id="{AC8A66E5-DE3B-034E-3EB5-C3F29AD7D88E}"/>
            </a:ext>
          </a:extLst>
        </xdr:cNvPr>
        <xdr:cNvSpPr/>
      </xdr:nvSpPr>
      <xdr:spPr>
        <a:xfrm>
          <a:off x="10592594" y="2869405"/>
          <a:ext cx="1178719" cy="5357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Refresh All</a:t>
          </a:r>
        </a:p>
        <a:p>
          <a:pPr algn="l"/>
          <a:r>
            <a:rPr lang="en-IN" sz="1200" b="1"/>
            <a:t>Ctrl + Alt + F5</a:t>
          </a:r>
          <a:r>
            <a:rPr lang="en-IN" sz="1200"/>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62.759367129627" createdVersion="8" refreshedVersion="8" minRefreshableVersion="3" recordCount="320" xr:uid="{D2DD043D-0769-4263-B705-5F7E178661FB}">
  <cacheSource type="worksheet">
    <worksheetSource name="SalesTbl"/>
  </cacheSource>
  <cacheFields count="13">
    <cacheField name="Order ID" numFmtId="0">
      <sharedItems/>
    </cacheField>
    <cacheField name="Order Date" numFmtId="164">
      <sharedItems containsSemiMixedTypes="0" containsNonDate="0" containsDate="1" containsString="0" minDate="2024-01-01T00:00:00" maxDate="2025-10-01T00:00:00" count="255">
        <d v="2024-01-01T00:00:00"/>
        <d v="2024-01-02T00:00:00"/>
        <d v="2024-01-04T00:00:00"/>
        <d v="2024-01-05T00:00:00"/>
        <d v="2024-01-07T00:00:00"/>
        <d v="2024-01-08T00:00:00"/>
        <d v="2024-01-09T00:00:00"/>
        <d v="2024-01-11T00:00:00"/>
        <d v="2024-01-15T00:00:00"/>
        <d v="2024-01-16T00:00:00"/>
        <d v="2024-01-20T00:00:00"/>
        <d v="2024-01-21T00:00:00"/>
        <d v="2024-01-22T00:00:00"/>
        <d v="2024-01-23T00:00:00"/>
        <d v="2024-01-25T00:00:00"/>
        <d v="2024-01-27T00:00:00"/>
        <d v="2024-01-28T00:00:00"/>
        <d v="2024-01-29T00:00:00"/>
        <d v="2024-02-02T00:00:00"/>
        <d v="2024-02-03T00:00:00"/>
        <d v="2024-02-04T00:00:00"/>
        <d v="2024-02-05T00:00:00"/>
        <d v="2024-02-06T00:00:00"/>
        <d v="2024-02-07T00:00:00"/>
        <d v="2024-02-08T00:00:00"/>
        <d v="2024-02-10T00:00:00"/>
        <d v="2024-02-11T00:00:00"/>
        <d v="2024-02-12T00:00:00"/>
        <d v="2024-02-20T00:00:00"/>
        <d v="2024-02-22T00:00:00"/>
        <d v="2024-02-23T00:00:00"/>
        <d v="2024-02-25T00:00:00"/>
        <d v="2024-02-27T00:00:00"/>
        <d v="2024-03-02T00:00:00"/>
        <d v="2024-03-05T00:00:00"/>
        <d v="2024-03-09T00:00:00"/>
        <d v="2024-03-13T00:00:00"/>
        <d v="2024-03-21T00:00:00"/>
        <d v="2024-03-22T00:00:00"/>
        <d v="2024-03-24T00:00:00"/>
        <d v="2024-03-26T00:00:00"/>
        <d v="2024-03-27T00:00:00"/>
        <d v="2024-03-28T00:00:00"/>
        <d v="2024-03-30T00:00:00"/>
        <d v="2024-04-01T00:00:00"/>
        <d v="2024-04-03T00:00:00"/>
        <d v="2024-04-05T00:00:00"/>
        <d v="2024-04-08T00:00:00"/>
        <d v="2024-04-12T00:00:00"/>
        <d v="2024-04-13T00:00:00"/>
        <d v="2024-04-18T00:00:00"/>
        <d v="2024-04-22T00:00:00"/>
        <d v="2024-04-23T00:00:00"/>
        <d v="2024-04-24T00:00:00"/>
        <d v="2024-04-26T00:00:00"/>
        <d v="2024-04-27T00:00:00"/>
        <d v="2024-04-29T00:00:00"/>
        <d v="2024-05-02T00:00:00"/>
        <d v="2024-05-05T00:00:00"/>
        <d v="2024-05-09T00:00:00"/>
        <d v="2024-05-10T00:00:00"/>
        <d v="2024-05-12T00:00:00"/>
        <d v="2024-05-13T00:00:00"/>
        <d v="2024-05-16T00:00:00"/>
        <d v="2024-05-17T00:00:00"/>
        <d v="2024-05-19T00:00:00"/>
        <d v="2024-05-20T00:00:00"/>
        <d v="2024-05-21T00:00:00"/>
        <d v="2024-05-22T00:00:00"/>
        <d v="2024-05-23T00:00:00"/>
        <d v="2024-05-25T00:00:00"/>
        <d v="2024-05-26T00:00:00"/>
        <d v="2024-05-27T00:00:00"/>
        <d v="2024-05-30T00:00:00"/>
        <d v="2024-06-04T00:00:00"/>
        <d v="2024-06-06T00:00:00"/>
        <d v="2024-06-07T00:00:00"/>
        <d v="2024-06-09T00:00:00"/>
        <d v="2024-06-19T00:00:00"/>
        <d v="2024-06-20T00:00:00"/>
        <d v="2024-06-27T00:00:00"/>
        <d v="2024-06-30T00:00:00"/>
        <d v="2024-07-01T00:00:00"/>
        <d v="2024-07-05T00:00:00"/>
        <d v="2024-07-06T00:00:00"/>
        <d v="2024-07-08T00:00:00"/>
        <d v="2024-07-13T00:00:00"/>
        <d v="2024-07-14T00:00:00"/>
        <d v="2024-07-18T00:00:00"/>
        <d v="2024-07-19T00:00:00"/>
        <d v="2024-07-20T00:00:00"/>
        <d v="2024-07-25T00:00:00"/>
        <d v="2024-07-31T00:00:00"/>
        <d v="2024-08-02T00:00:00"/>
        <d v="2024-08-04T00:00:00"/>
        <d v="2024-08-05T00:00:00"/>
        <d v="2024-08-07T00:00:00"/>
        <d v="2024-08-10T00:00:00"/>
        <d v="2024-08-12T00:00:00"/>
        <d v="2024-08-14T00:00:00"/>
        <d v="2024-08-16T00:00:00"/>
        <d v="2024-08-18T00:00:00"/>
        <d v="2024-08-21T00:00:00"/>
        <d v="2024-08-22T00:00:00"/>
        <d v="2024-08-23T00:00:00"/>
        <d v="2024-08-24T00:00:00"/>
        <d v="2024-08-26T00:00:00"/>
        <d v="2024-08-29T00:00:00"/>
        <d v="2024-08-30T00:00:00"/>
        <d v="2024-08-31T00:00:00"/>
        <d v="2024-09-01T00:00:00"/>
        <d v="2024-09-03T00:00:00"/>
        <d v="2024-09-06T00:00:00"/>
        <d v="2024-09-07T00:00:00"/>
        <d v="2024-09-08T00:00:00"/>
        <d v="2024-09-09T00:00:00"/>
        <d v="2024-09-12T00:00:00"/>
        <d v="2024-09-13T00:00:00"/>
        <d v="2024-09-14T00:00:00"/>
        <d v="2024-09-15T00:00:00"/>
        <d v="2024-09-17T00:00:00"/>
        <d v="2024-09-20T00:00:00"/>
        <d v="2024-09-24T00:00:00"/>
        <d v="2024-09-25T00:00:00"/>
        <d v="2024-09-28T00:00:00"/>
        <d v="2024-09-29T00:00:00"/>
        <d v="2024-10-01T00:00:00"/>
        <d v="2024-10-03T00:00:00"/>
        <d v="2024-10-08T00:00:00"/>
        <d v="2024-10-09T00:00:00"/>
        <d v="2024-10-12T00:00:00"/>
        <d v="2024-10-15T00:00:00"/>
        <d v="2024-10-18T00:00:00"/>
        <d v="2024-10-19T00:00:00"/>
        <d v="2024-10-21T00:00:00"/>
        <d v="2024-10-22T00:00:00"/>
        <d v="2024-10-29T00:00:00"/>
        <d v="2024-11-01T00:00:00"/>
        <d v="2024-11-03T00:00:00"/>
        <d v="2024-11-04T00:00:00"/>
        <d v="2024-11-10T00:00:00"/>
        <d v="2024-11-11T00:00:00"/>
        <d v="2024-11-13T00:00:00"/>
        <d v="2024-11-15T00:00:00"/>
        <d v="2024-11-18T00:00:00"/>
        <d v="2024-11-19T00:00:00"/>
        <d v="2024-11-20T00:00:00"/>
        <d v="2024-11-25T00:00:00"/>
        <d v="2024-11-26T00:00:00"/>
        <d v="2024-11-27T00:00:00"/>
        <d v="2024-12-03T00:00:00"/>
        <d v="2024-12-05T00:00:00"/>
        <d v="2024-12-07T00:00:00"/>
        <d v="2024-12-09T00:00:00"/>
        <d v="2024-12-15T00:00:00"/>
        <d v="2024-12-22T00:00:00"/>
        <d v="2024-12-25T00:00:00"/>
        <d v="2024-12-26T00:00:00"/>
        <d v="2025-01-01T00:00:00"/>
        <d v="2025-01-03T00:00:00"/>
        <d v="2025-01-06T00:00:00"/>
        <d v="2025-01-08T00:00:00"/>
        <d v="2025-01-11T00:00:00"/>
        <d v="2025-01-14T00:00:00"/>
        <d v="2025-01-19T00:00:00"/>
        <d v="2025-01-20T00:00:00"/>
        <d v="2025-01-22T00:00:00"/>
        <d v="2025-01-26T00:00:00"/>
        <d v="2025-01-28T00:00:00"/>
        <d v="2025-01-29T00:00:00"/>
        <d v="2025-01-30T00:00:00"/>
        <d v="2025-02-03T00:00:00"/>
        <d v="2025-02-04T00:00:00"/>
        <d v="2025-02-06T00:00:00"/>
        <d v="2025-02-09T00:00:00"/>
        <d v="2025-02-10T00:00:00"/>
        <d v="2025-02-11T00:00:00"/>
        <d v="2025-02-14T00:00:00"/>
        <d v="2025-02-16T00:00:00"/>
        <d v="2025-02-19T00:00:00"/>
        <d v="2025-02-22T00:00:00"/>
        <d v="2025-02-25T00:00:00"/>
        <d v="2025-03-12T00:00:00"/>
        <d v="2025-03-17T00:00:00"/>
        <d v="2025-03-18T00:00:00"/>
        <d v="2025-03-25T00:00:00"/>
        <d v="2025-03-29T00:00:00"/>
        <d v="2025-03-30T00:00:00"/>
        <d v="2025-03-31T00:00:00"/>
        <d v="2025-04-02T00:00:00"/>
        <d v="2025-04-05T00:00:00"/>
        <d v="2025-04-16T00:00:00"/>
        <d v="2025-04-17T00:00:00"/>
        <d v="2025-04-18T00:00:00"/>
        <d v="2025-04-20T00:00:00"/>
        <d v="2025-04-21T00:00:00"/>
        <d v="2025-05-02T00:00:00"/>
        <d v="2025-05-03T00:00:00"/>
        <d v="2025-05-10T00:00:00"/>
        <d v="2025-05-11T00:00:00"/>
        <d v="2025-05-12T00:00:00"/>
        <d v="2025-05-14T00:00:00"/>
        <d v="2025-05-15T00:00:00"/>
        <d v="2025-05-18T00:00:00"/>
        <d v="2025-05-20T00:00:00"/>
        <d v="2025-05-21T00:00:00"/>
        <d v="2025-05-25T00:00:00"/>
        <d v="2025-05-30T00:00:00"/>
        <d v="2025-06-01T00:00:00"/>
        <d v="2025-06-02T00:00:00"/>
        <d v="2025-06-05T00:00:00"/>
        <d v="2025-06-07T00:00:00"/>
        <d v="2025-06-08T00:00:00"/>
        <d v="2025-06-09T00:00:00"/>
        <d v="2025-06-14T00:00:00"/>
        <d v="2025-06-15T00:00:00"/>
        <d v="2025-06-17T00:00:00"/>
        <d v="2025-06-25T00:00:00"/>
        <d v="2025-07-03T00:00:00"/>
        <d v="2025-07-10T00:00:00"/>
        <d v="2025-07-11T00:00:00"/>
        <d v="2025-07-14T00:00:00"/>
        <d v="2025-07-16T00:00:00"/>
        <d v="2025-07-17T00:00:00"/>
        <d v="2025-07-18T00:00:00"/>
        <d v="2025-07-19T00:00:00"/>
        <d v="2025-07-20T00:00:00"/>
        <d v="2025-07-21T00:00:00"/>
        <d v="2025-07-24T00:00:00"/>
        <d v="2025-07-28T00:00:00"/>
        <d v="2025-07-31T00:00:00"/>
        <d v="2025-08-01T00:00:00"/>
        <d v="2025-08-07T00:00:00"/>
        <d v="2025-08-10T00:00:00"/>
        <d v="2025-08-12T00:00:00"/>
        <d v="2025-08-18T00:00:00"/>
        <d v="2025-08-23T00:00:00"/>
        <d v="2025-08-24T00:00:00"/>
        <d v="2025-08-26T00:00:00"/>
        <d v="2025-08-29T00:00:00"/>
        <d v="2025-08-31T00:00:00"/>
        <d v="2025-09-01T00:00:00"/>
        <d v="2025-09-04T00:00:00"/>
        <d v="2025-09-06T00:00:00"/>
        <d v="2025-09-07T00:00:00"/>
        <d v="2025-09-13T00:00:00"/>
        <d v="2025-09-14T00:00:00"/>
        <d v="2025-09-15T00:00:00"/>
        <d v="2025-09-17T00:00:00"/>
        <d v="2025-09-18T00:00:00"/>
        <d v="2025-09-19T00:00:00"/>
        <d v="2025-09-24T00:00:00"/>
        <d v="2025-09-25T00:00:00"/>
        <d v="2025-09-26T00:00:00"/>
        <d v="2025-09-30T00:00:00"/>
      </sharedItems>
      <fieldGroup par="12"/>
    </cacheField>
    <cacheField name="Customer Name" numFmtId="0">
      <sharedItems/>
    </cacheField>
    <cacheField name="Region" numFmtId="0">
      <sharedItems count="4">
        <s v="West"/>
        <s v="South"/>
        <s v="North"/>
        <s v="East"/>
      </sharedItems>
    </cacheField>
    <cacheField name="Product Category" numFmtId="0">
      <sharedItems count="3">
        <s v="Furniture"/>
        <s v="Electronics"/>
        <s v="Office Supplies"/>
      </sharedItems>
    </cacheField>
    <cacheField name="Product Name" numFmtId="0">
      <sharedItems count="19">
        <s v="Ergo Chair"/>
        <s v="4K Monitor 27"/>
        <s v="Stapler Pro"/>
        <s v="Ink Cartridge"/>
        <s v="Highlighters (5)"/>
        <s v="Notepad Set"/>
        <s v="Ballpoint Pens (10)"/>
        <s v="Sofa 2-Seater"/>
        <s v="Mechanical Keyboard"/>
        <s v="A4 Paper Ream"/>
        <s v="Standing Desk"/>
        <s v="Laptop Pro 14"/>
        <s v="Smartphone X1"/>
        <s v="Noise-cancel Headphones"/>
        <s v="Wireless Mouse"/>
        <s v="Tablet Air"/>
        <s v="Conference Table"/>
        <s v="Filing Cabinet"/>
        <s v="Bookshelf Oak"/>
      </sharedItems>
    </cacheField>
    <cacheField name="Quantity" numFmtId="0">
      <sharedItems containsSemiMixedTypes="0" containsString="0" containsNumber="1" containsInteger="1" minValue="1" maxValue="10"/>
    </cacheField>
    <cacheField name="Unit Price" numFmtId="0">
      <sharedItems containsSemiMixedTypes="0" containsString="0" containsNumber="1" minValue="70.94" maxValue="89675.72"/>
    </cacheField>
    <cacheField name="Total Sales" numFmtId="0">
      <sharedItems containsSemiMixedTypes="0" containsString="0" containsNumber="1" minValue="216.27" maxValue="877209.7"/>
    </cacheField>
    <cacheField name="Profit" numFmtId="0">
      <sharedItems containsSemiMixedTypes="0" containsString="0" containsNumber="1" minValue="72.400000000000006" maxValue="133980.70000000001"/>
    </cacheField>
    <cacheField name="Year" numFmtId="0">
      <sharedItems containsSemiMixedTypes="0" containsString="0" containsNumber="1" containsInteger="1" minValue="2024" maxValue="2025" count="2">
        <n v="2024"/>
        <n v="2025"/>
      </sharedItems>
    </cacheField>
    <cacheField name="Months (Order Date)" numFmtId="0" databaseField="0">
      <fieldGroup base="1">
        <rangePr groupBy="months" startDate="2024-01-01T00:00:00" endDate="2025-10-01T00:00:00"/>
        <groupItems count="14">
          <s v="&lt;01-01-2024"/>
          <s v="Jan"/>
          <s v="Feb"/>
          <s v="Mar"/>
          <s v="Apr"/>
          <s v="May"/>
          <s v="Jun"/>
          <s v="Jul"/>
          <s v="Aug"/>
          <s v="Sep"/>
          <s v="Oct"/>
          <s v="Nov"/>
          <s v="Dec"/>
          <s v="&gt;01-10-2025"/>
        </groupItems>
      </fieldGroup>
    </cacheField>
    <cacheField name="Years (Order Date)" numFmtId="0" databaseField="0">
      <fieldGroup base="1">
        <rangePr groupBy="years" startDate="2024-01-01T00:00:00" endDate="2025-10-01T00:00:00"/>
        <groupItems count="4">
          <s v="&lt;01-01-2024"/>
          <s v="2024"/>
          <s v="2025"/>
          <s v="&gt;01-10-2025"/>
        </groupItems>
      </fieldGroup>
    </cacheField>
  </cacheFields>
  <extLst>
    <ext xmlns:x14="http://schemas.microsoft.com/office/spreadsheetml/2009/9/main" uri="{725AE2AE-9491-48be-B2B4-4EB974FC3084}">
      <x14:pivotCacheDefinition pivotCacheId="263153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s v="ORD-2024-00148"/>
    <x v="0"/>
    <s v="Meera Kulkarni"/>
    <x v="0"/>
    <x v="0"/>
    <x v="0"/>
    <n v="4"/>
    <n v="52527.95"/>
    <n v="210111.8"/>
    <n v="31458.69"/>
    <x v="0"/>
  </r>
  <r>
    <s v="ORD-2024-00051"/>
    <x v="1"/>
    <s v="Sanjay Patel"/>
    <x v="1"/>
    <x v="1"/>
    <x v="1"/>
    <n v="5"/>
    <n v="89668.45"/>
    <n v="448342.25"/>
    <n v="76236.929999999993"/>
    <x v="0"/>
  </r>
  <r>
    <s v="ORD-2024-00185"/>
    <x v="2"/>
    <s v="Pooja Verma"/>
    <x v="2"/>
    <x v="2"/>
    <x v="2"/>
    <n v="6"/>
    <n v="70.94"/>
    <n v="425.64"/>
    <n v="95.28"/>
    <x v="0"/>
  </r>
  <r>
    <s v="ORD-2024-00199"/>
    <x v="3"/>
    <s v="Kabir Singh"/>
    <x v="2"/>
    <x v="0"/>
    <x v="0"/>
    <n v="10"/>
    <n v="13880.22"/>
    <n v="138802.20000000001"/>
    <n v="33038.06"/>
    <x v="0"/>
  </r>
  <r>
    <s v="ORD-2025-00246"/>
    <x v="4"/>
    <s v="Ishaan Khan"/>
    <x v="3"/>
    <x v="2"/>
    <x v="3"/>
    <n v="1"/>
    <n v="2551.3000000000002"/>
    <n v="2551.3000000000002"/>
    <n v="549.4"/>
    <x v="0"/>
  </r>
  <r>
    <s v="ORD-2025-00240"/>
    <x v="5"/>
    <s v="Riya Basu"/>
    <x v="1"/>
    <x v="2"/>
    <x v="4"/>
    <n v="7"/>
    <n v="157.03"/>
    <n v="1099.21"/>
    <n v="245.3"/>
    <x v="0"/>
  </r>
  <r>
    <s v="ORD-2024-00052"/>
    <x v="6"/>
    <s v="Aarav Iyer"/>
    <x v="2"/>
    <x v="2"/>
    <x v="5"/>
    <n v="3"/>
    <n v="1151.54"/>
    <n v="3454.62"/>
    <n v="1048.17"/>
    <x v="0"/>
  </r>
  <r>
    <s v="ORD-2024-00119"/>
    <x v="6"/>
    <s v="Aanya Chatterjee"/>
    <x v="0"/>
    <x v="0"/>
    <x v="0"/>
    <n v="1"/>
    <n v="42169.27"/>
    <n v="42169.27"/>
    <n v="5614.67"/>
    <x v="0"/>
  </r>
  <r>
    <s v="ORD-2025-00265"/>
    <x v="7"/>
    <s v="Vikram Verma"/>
    <x v="0"/>
    <x v="2"/>
    <x v="6"/>
    <n v="1"/>
    <n v="1454.91"/>
    <n v="1454.91"/>
    <n v="440.34"/>
    <x v="0"/>
  </r>
  <r>
    <s v="ORD-2024-00173"/>
    <x v="8"/>
    <s v="Aditya Reddy"/>
    <x v="1"/>
    <x v="0"/>
    <x v="7"/>
    <n v="7"/>
    <n v="6841.96"/>
    <n v="47893.72"/>
    <n v="8096.29"/>
    <x v="0"/>
  </r>
  <r>
    <s v="ORD-2025-00211"/>
    <x v="8"/>
    <s v="Kiran Patel"/>
    <x v="3"/>
    <x v="1"/>
    <x v="8"/>
    <n v="5"/>
    <n v="72060.639999999999"/>
    <n v="360303.2"/>
    <n v="46347.87"/>
    <x v="0"/>
  </r>
  <r>
    <s v="ORD-2025-00280"/>
    <x v="9"/>
    <s v="Ira Gowda"/>
    <x v="0"/>
    <x v="2"/>
    <x v="9"/>
    <n v="7"/>
    <n v="3704.73"/>
    <n v="25933.11"/>
    <n v="7118.3"/>
    <x v="0"/>
  </r>
  <r>
    <s v="ORD-2025-00306"/>
    <x v="10"/>
    <s v="Aditya Chatterjee"/>
    <x v="0"/>
    <x v="2"/>
    <x v="2"/>
    <n v="10"/>
    <n v="3979.89"/>
    <n v="39798.9"/>
    <n v="10649.87"/>
    <x v="0"/>
  </r>
  <r>
    <s v="ORD-2024-00009"/>
    <x v="11"/>
    <s v="Ananya Mishra"/>
    <x v="2"/>
    <x v="0"/>
    <x v="0"/>
    <n v="2"/>
    <n v="25436.86"/>
    <n v="50873.72"/>
    <n v="12380.38"/>
    <x v="0"/>
  </r>
  <r>
    <s v="ORD-2024-00061"/>
    <x v="12"/>
    <s v="Pooja Nair"/>
    <x v="1"/>
    <x v="0"/>
    <x v="0"/>
    <n v="6"/>
    <n v="14326.64"/>
    <n v="85959.84"/>
    <n v="21254.09"/>
    <x v="0"/>
  </r>
  <r>
    <s v="ORD-2025-00202"/>
    <x v="13"/>
    <s v="Vikram Yadav"/>
    <x v="1"/>
    <x v="0"/>
    <x v="10"/>
    <n v="1"/>
    <n v="24804.46"/>
    <n v="24804.46"/>
    <n v="3725.32"/>
    <x v="0"/>
  </r>
  <r>
    <s v="ORD-2024-00115"/>
    <x v="14"/>
    <s v="Diya Gupta"/>
    <x v="2"/>
    <x v="2"/>
    <x v="2"/>
    <n v="5"/>
    <n v="2237.13"/>
    <n v="11185.65"/>
    <n v="3444.1"/>
    <x v="0"/>
  </r>
  <r>
    <s v="ORD-2024-00176"/>
    <x v="14"/>
    <s v="Ira Joshi"/>
    <x v="3"/>
    <x v="1"/>
    <x v="11"/>
    <n v="3"/>
    <n v="61600.56"/>
    <n v="184801.68"/>
    <n v="26774.49"/>
    <x v="0"/>
  </r>
  <r>
    <s v="ORD-2025-00260"/>
    <x v="15"/>
    <s v="Aarav Khan"/>
    <x v="3"/>
    <x v="1"/>
    <x v="12"/>
    <n v="6"/>
    <n v="81151.649999999994"/>
    <n v="486909.9"/>
    <n v="74603.58"/>
    <x v="0"/>
  </r>
  <r>
    <s v="ORD-2024-00170"/>
    <x v="16"/>
    <s v="Kiran Banerjee"/>
    <x v="1"/>
    <x v="2"/>
    <x v="3"/>
    <n v="8"/>
    <n v="1507.21"/>
    <n v="12057.68"/>
    <n v="3647.3"/>
    <x v="0"/>
  </r>
  <r>
    <s v="ORD-2024-00032"/>
    <x v="16"/>
    <s v="Meera Sharma"/>
    <x v="2"/>
    <x v="2"/>
    <x v="2"/>
    <n v="4"/>
    <n v="912.84"/>
    <n v="3651.36"/>
    <n v="1211.28"/>
    <x v="0"/>
  </r>
  <r>
    <s v="ORD-2025-00220"/>
    <x v="17"/>
    <s v="Diya Yadav"/>
    <x v="3"/>
    <x v="0"/>
    <x v="10"/>
    <n v="9"/>
    <n v="6808.49"/>
    <n v="61276.41"/>
    <n v="14726.19"/>
    <x v="0"/>
  </r>
  <r>
    <s v="ORD-2024-00023"/>
    <x v="18"/>
    <s v="Kabir Yadav"/>
    <x v="0"/>
    <x v="0"/>
    <x v="10"/>
    <n v="7"/>
    <n v="4619.4399999999996"/>
    <n v="32336.080000000002"/>
    <n v="6691.93"/>
    <x v="0"/>
  </r>
  <r>
    <s v="ORD-2024-00060"/>
    <x v="18"/>
    <s v="Vikram Iyer"/>
    <x v="2"/>
    <x v="1"/>
    <x v="12"/>
    <n v="3"/>
    <n v="49514.81"/>
    <n v="148544.43"/>
    <n v="21335.919999999998"/>
    <x v="0"/>
  </r>
  <r>
    <s v="ORD-2025-00258"/>
    <x v="19"/>
    <s v="Kabir Gowda"/>
    <x v="1"/>
    <x v="1"/>
    <x v="13"/>
    <n v="9"/>
    <n v="50544.75"/>
    <n v="454902.75"/>
    <n v="59022.03"/>
    <x v="0"/>
  </r>
  <r>
    <s v="ORD-2024-00012"/>
    <x v="20"/>
    <s v="Aditya Verma"/>
    <x v="3"/>
    <x v="2"/>
    <x v="6"/>
    <n v="4"/>
    <n v="3641.82"/>
    <n v="14567.28"/>
    <n v="3073.41"/>
    <x v="0"/>
  </r>
  <r>
    <s v="ORD-2024-00102"/>
    <x v="20"/>
    <s v="Aditya Joshi"/>
    <x v="0"/>
    <x v="2"/>
    <x v="6"/>
    <n v="10"/>
    <n v="1379.39"/>
    <n v="13793.9"/>
    <n v="3230.89"/>
    <x v="0"/>
  </r>
  <r>
    <s v="ORD-2024-00076"/>
    <x v="21"/>
    <s v="Kiran Basu"/>
    <x v="3"/>
    <x v="1"/>
    <x v="14"/>
    <n v="1"/>
    <n v="72149.119999999995"/>
    <n v="72149.119999999995"/>
    <n v="6283.76"/>
    <x v="0"/>
  </r>
  <r>
    <s v="ORD-2024-00066"/>
    <x v="22"/>
    <s v="Aanya Yadav"/>
    <x v="2"/>
    <x v="1"/>
    <x v="15"/>
    <n v="1"/>
    <n v="83656.19"/>
    <n v="83656.19"/>
    <n v="11316.72"/>
    <x v="0"/>
  </r>
  <r>
    <s v="ORD-2025-00313"/>
    <x v="23"/>
    <s v="Kiran Menon"/>
    <x v="0"/>
    <x v="2"/>
    <x v="5"/>
    <n v="5"/>
    <n v="1076.03"/>
    <n v="5380.15"/>
    <n v="1013.05"/>
    <x v="0"/>
  </r>
  <r>
    <s v="ORD-2024-00174"/>
    <x v="24"/>
    <s v="Aditya Reddy"/>
    <x v="1"/>
    <x v="1"/>
    <x v="15"/>
    <n v="7"/>
    <n v="30004.01"/>
    <n v="210028.07"/>
    <n v="18675.79"/>
    <x v="0"/>
  </r>
  <r>
    <s v="ORD-2025-00291"/>
    <x v="24"/>
    <s v="Reyansh Gowda"/>
    <x v="2"/>
    <x v="1"/>
    <x v="11"/>
    <n v="1"/>
    <n v="2339.46"/>
    <n v="2339.46"/>
    <n v="281.19"/>
    <x v="0"/>
  </r>
  <r>
    <s v="ORD-2025-00272"/>
    <x v="24"/>
    <s v="Sanjay Das"/>
    <x v="2"/>
    <x v="2"/>
    <x v="4"/>
    <n v="2"/>
    <n v="349.94"/>
    <n v="699.88"/>
    <n v="221.09"/>
    <x v="0"/>
  </r>
  <r>
    <s v="ORD-2024-00022"/>
    <x v="25"/>
    <s v="Neha Menon"/>
    <x v="3"/>
    <x v="2"/>
    <x v="5"/>
    <n v="9"/>
    <n v="3664.09"/>
    <n v="32976.81"/>
    <n v="9430.07"/>
    <x v="0"/>
  </r>
  <r>
    <s v="ORD-2024-00137"/>
    <x v="25"/>
    <s v="Aarav Joshi"/>
    <x v="3"/>
    <x v="1"/>
    <x v="15"/>
    <n v="6"/>
    <n v="24505.56"/>
    <n v="147033.35999999999"/>
    <n v="12237.82"/>
    <x v="0"/>
  </r>
  <r>
    <s v="ORD-2024-00117"/>
    <x v="26"/>
    <s v="Kabir Das"/>
    <x v="1"/>
    <x v="1"/>
    <x v="1"/>
    <n v="10"/>
    <n v="87720.97"/>
    <n v="877209.7"/>
    <n v="108908.26"/>
    <x v="0"/>
  </r>
  <r>
    <s v="ORD-2024-00101"/>
    <x v="27"/>
    <s v="Kiran Das"/>
    <x v="3"/>
    <x v="0"/>
    <x v="16"/>
    <n v="2"/>
    <n v="11733.56"/>
    <n v="23467.119999999999"/>
    <n v="2934.92"/>
    <x v="0"/>
  </r>
  <r>
    <s v="ORD-2024-00163"/>
    <x v="28"/>
    <s v="Meera Patel"/>
    <x v="3"/>
    <x v="2"/>
    <x v="6"/>
    <n v="5"/>
    <n v="211.43"/>
    <n v="1057.1500000000001"/>
    <n v="252.3"/>
    <x v="0"/>
  </r>
  <r>
    <s v="ORD-2024-00079"/>
    <x v="28"/>
    <s v="Vihaan Joshi"/>
    <x v="1"/>
    <x v="0"/>
    <x v="10"/>
    <n v="6"/>
    <n v="26249.17"/>
    <n v="157495.01999999999"/>
    <n v="30996.33"/>
    <x v="0"/>
  </r>
  <r>
    <s v="ORD-2024-00082"/>
    <x v="29"/>
    <s v="Reyansh Reddy"/>
    <x v="1"/>
    <x v="1"/>
    <x v="8"/>
    <n v="5"/>
    <n v="25531.55"/>
    <n v="127657.75"/>
    <n v="16049.96"/>
    <x v="0"/>
  </r>
  <r>
    <s v="ORD-2024-00081"/>
    <x v="30"/>
    <s v="Neha Gowda"/>
    <x v="2"/>
    <x v="0"/>
    <x v="17"/>
    <n v="5"/>
    <n v="30095.03"/>
    <n v="150475.15"/>
    <n v="28273.02"/>
    <x v="0"/>
  </r>
  <r>
    <s v="ORD-2025-00305"/>
    <x v="30"/>
    <s v="Rohan Reddy"/>
    <x v="2"/>
    <x v="0"/>
    <x v="0"/>
    <n v="1"/>
    <n v="53337.72"/>
    <n v="53337.72"/>
    <n v="9994.09"/>
    <x v="0"/>
  </r>
  <r>
    <s v="ORD-2024-00167"/>
    <x v="31"/>
    <s v="Vihaan Khan"/>
    <x v="0"/>
    <x v="1"/>
    <x v="15"/>
    <n v="1"/>
    <n v="78811.710000000006"/>
    <n v="78811.710000000006"/>
    <n v="8487.06"/>
    <x v="0"/>
  </r>
  <r>
    <s v="ORD-2024-00087"/>
    <x v="32"/>
    <s v="Sara Iyer"/>
    <x v="1"/>
    <x v="0"/>
    <x v="18"/>
    <n v="2"/>
    <n v="50438.5"/>
    <n v="100877"/>
    <n v="15249.81"/>
    <x v="0"/>
  </r>
  <r>
    <s v="ORD-2025-00307"/>
    <x v="33"/>
    <s v="Pooja Rao"/>
    <x v="2"/>
    <x v="1"/>
    <x v="1"/>
    <n v="3"/>
    <n v="89675.72"/>
    <n v="269027.15999999997"/>
    <n v="43470.3"/>
    <x v="0"/>
  </r>
  <r>
    <s v="ORD-2024-00019"/>
    <x v="34"/>
    <s v="Aanya Menon"/>
    <x v="0"/>
    <x v="0"/>
    <x v="0"/>
    <n v="9"/>
    <n v="2041.24"/>
    <n v="18371.16"/>
    <n v="4048.85"/>
    <x v="0"/>
  </r>
  <r>
    <s v="ORD-2024-00158"/>
    <x v="35"/>
    <s v="Rohan Patel"/>
    <x v="2"/>
    <x v="2"/>
    <x v="6"/>
    <n v="5"/>
    <n v="3921.13"/>
    <n v="19605.650000000001"/>
    <n v="4686.93"/>
    <x v="0"/>
  </r>
  <r>
    <s v="ORD-2024-00166"/>
    <x v="36"/>
    <s v="Aditya Rao"/>
    <x v="0"/>
    <x v="1"/>
    <x v="8"/>
    <n v="9"/>
    <n v="9667.7199999999993"/>
    <n v="87009.48"/>
    <n v="12945.14"/>
    <x v="0"/>
  </r>
  <r>
    <s v="ORD-2025-00277"/>
    <x v="37"/>
    <s v="Ishaan Mishra"/>
    <x v="2"/>
    <x v="1"/>
    <x v="1"/>
    <n v="6"/>
    <n v="59802.33"/>
    <n v="358813.98"/>
    <n v="51569.88"/>
    <x v="0"/>
  </r>
  <r>
    <s v="ORD-2025-00248"/>
    <x v="38"/>
    <s v="Kabir Rao"/>
    <x v="2"/>
    <x v="1"/>
    <x v="15"/>
    <n v="5"/>
    <n v="80501.45"/>
    <n v="402507.25"/>
    <n v="45958.98"/>
    <x v="0"/>
  </r>
  <r>
    <s v="ORD-2025-00230"/>
    <x v="39"/>
    <s v="Riya Gupta"/>
    <x v="3"/>
    <x v="1"/>
    <x v="8"/>
    <n v="4"/>
    <n v="42120.53"/>
    <n v="168482.12"/>
    <n v="20464.240000000002"/>
    <x v="0"/>
  </r>
  <r>
    <s v="ORD-2024-00031"/>
    <x v="40"/>
    <s v="Reyansh Basu"/>
    <x v="1"/>
    <x v="1"/>
    <x v="13"/>
    <n v="10"/>
    <n v="79421.399999999994"/>
    <n v="794214"/>
    <n v="127719.17"/>
    <x v="0"/>
  </r>
  <r>
    <s v="ORD-2024-00091"/>
    <x v="40"/>
    <s v="Neha Gowda"/>
    <x v="3"/>
    <x v="2"/>
    <x v="2"/>
    <n v="5"/>
    <n v="106.85"/>
    <n v="534.25"/>
    <n v="104.72"/>
    <x v="0"/>
  </r>
  <r>
    <s v="ORD-2025-00281"/>
    <x v="40"/>
    <s v="Pooja Yadav"/>
    <x v="3"/>
    <x v="0"/>
    <x v="0"/>
    <n v="5"/>
    <n v="50453.27"/>
    <n v="252266.35"/>
    <n v="54245.61"/>
    <x v="0"/>
  </r>
  <r>
    <s v="ORD-2025-00239"/>
    <x v="41"/>
    <s v="Aditya Khan"/>
    <x v="3"/>
    <x v="1"/>
    <x v="1"/>
    <n v="2"/>
    <n v="88135.43"/>
    <n v="176270.86"/>
    <n v="29384.240000000002"/>
    <x v="0"/>
  </r>
  <r>
    <s v="ORD-2024-00003"/>
    <x v="42"/>
    <s v="Vihaan Sharma"/>
    <x v="2"/>
    <x v="2"/>
    <x v="3"/>
    <n v="8"/>
    <n v="1368.15"/>
    <n v="10945.2"/>
    <n v="3287.64"/>
    <x v="0"/>
  </r>
  <r>
    <s v="ORD-2024-00136"/>
    <x v="43"/>
    <s v="Ishaan Reddy"/>
    <x v="1"/>
    <x v="2"/>
    <x v="5"/>
    <n v="2"/>
    <n v="1583.66"/>
    <n v="3167.32"/>
    <n v="713.31"/>
    <x v="0"/>
  </r>
  <r>
    <s v="ORD-2024-00078"/>
    <x v="44"/>
    <s v="Ananya Menon"/>
    <x v="1"/>
    <x v="2"/>
    <x v="9"/>
    <n v="7"/>
    <n v="2336.52"/>
    <n v="16355.64"/>
    <n v="4812.5600000000004"/>
    <x v="0"/>
  </r>
  <r>
    <s v="ORD-2025-00318"/>
    <x v="44"/>
    <s v="Aditya Gowda"/>
    <x v="3"/>
    <x v="1"/>
    <x v="14"/>
    <n v="9"/>
    <n v="76776.479999999996"/>
    <n v="690988.32"/>
    <n v="78358.69"/>
    <x v="0"/>
  </r>
  <r>
    <s v="ORD-2024-00092"/>
    <x v="45"/>
    <s v="Aanya Gupta"/>
    <x v="2"/>
    <x v="0"/>
    <x v="17"/>
    <n v="4"/>
    <n v="47223.78"/>
    <n v="188895.12"/>
    <n v="26972.89"/>
    <x v="0"/>
  </r>
  <r>
    <s v="ORD-2024-00029"/>
    <x v="46"/>
    <s v="Aarav Gupta"/>
    <x v="0"/>
    <x v="1"/>
    <x v="1"/>
    <n v="5"/>
    <n v="63053.17"/>
    <n v="315265.84999999998"/>
    <n v="33080.6"/>
    <x v="0"/>
  </r>
  <r>
    <s v="ORD-2024-00108"/>
    <x v="46"/>
    <s v="Reyansh Yadav"/>
    <x v="2"/>
    <x v="0"/>
    <x v="10"/>
    <n v="5"/>
    <n v="19535.23"/>
    <n v="97676.15"/>
    <n v="14750.82"/>
    <x v="0"/>
  </r>
  <r>
    <s v="ORD-2024-00024"/>
    <x v="47"/>
    <s v="Vihaan Patel"/>
    <x v="0"/>
    <x v="1"/>
    <x v="8"/>
    <n v="6"/>
    <n v="53829.85"/>
    <n v="322979.09999999998"/>
    <n v="54493.45"/>
    <x v="0"/>
  </r>
  <r>
    <s v="ORD-2024-00107"/>
    <x v="47"/>
    <s v="Kabir Sharma"/>
    <x v="0"/>
    <x v="0"/>
    <x v="10"/>
    <n v="2"/>
    <n v="23398.83"/>
    <n v="46797.66"/>
    <n v="7136.74"/>
    <x v="0"/>
  </r>
  <r>
    <s v="ORD-2024-00001"/>
    <x v="48"/>
    <s v="Sara Nair"/>
    <x v="2"/>
    <x v="1"/>
    <x v="14"/>
    <n v="8"/>
    <n v="71994.05"/>
    <n v="575952.4"/>
    <n v="80556.070000000007"/>
    <x v="0"/>
  </r>
  <r>
    <s v="ORD-2024-00055"/>
    <x v="49"/>
    <s v="Kiran Joshi"/>
    <x v="2"/>
    <x v="0"/>
    <x v="18"/>
    <n v="3"/>
    <n v="33825.879999999997"/>
    <n v="101477.64"/>
    <n v="17088.509999999998"/>
    <x v="0"/>
  </r>
  <r>
    <s v="ORD-2024-00073"/>
    <x v="49"/>
    <s v="Sara Yadav"/>
    <x v="1"/>
    <x v="2"/>
    <x v="4"/>
    <n v="6"/>
    <n v="2803.21"/>
    <n v="16819.259999999998"/>
    <n v="4055.35"/>
    <x v="0"/>
  </r>
  <r>
    <s v="ORD-2025-00256"/>
    <x v="50"/>
    <s v="Kabir Menon"/>
    <x v="2"/>
    <x v="0"/>
    <x v="10"/>
    <n v="5"/>
    <n v="38387.74"/>
    <n v="191938.7"/>
    <n v="23491.53"/>
    <x v="0"/>
  </r>
  <r>
    <s v="ORD-2024-00040"/>
    <x v="51"/>
    <s v="Sanjay Nair"/>
    <x v="3"/>
    <x v="1"/>
    <x v="15"/>
    <n v="8"/>
    <n v="14605.69"/>
    <n v="116845.52"/>
    <n v="9778.65"/>
    <x v="0"/>
  </r>
  <r>
    <s v="ORD-2024-00189"/>
    <x v="51"/>
    <s v="Neha Singh"/>
    <x v="2"/>
    <x v="1"/>
    <x v="13"/>
    <n v="1"/>
    <n v="48390.84"/>
    <n v="48390.84"/>
    <n v="6826.11"/>
    <x v="0"/>
  </r>
  <r>
    <s v="ORD-2024-00041"/>
    <x v="51"/>
    <s v="Vihaan Nair"/>
    <x v="1"/>
    <x v="1"/>
    <x v="12"/>
    <n v="6"/>
    <n v="87930.42"/>
    <n v="527582.52"/>
    <n v="43950.3"/>
    <x v="0"/>
  </r>
  <r>
    <s v="ORD-2025-00236"/>
    <x v="51"/>
    <s v="Neha Reddy"/>
    <x v="2"/>
    <x v="0"/>
    <x v="18"/>
    <n v="6"/>
    <n v="22761.05"/>
    <n v="136566.29999999999"/>
    <n v="29975.8"/>
    <x v="0"/>
  </r>
  <r>
    <s v="ORD-2025-00315"/>
    <x v="52"/>
    <s v="Ira Gupta"/>
    <x v="2"/>
    <x v="0"/>
    <x v="16"/>
    <n v="3"/>
    <n v="27838.880000000001"/>
    <n v="83516.639999999999"/>
    <n v="18975.689999999999"/>
    <x v="0"/>
  </r>
  <r>
    <s v="ORD-2025-00253"/>
    <x v="53"/>
    <s v="Ananya Verma"/>
    <x v="3"/>
    <x v="2"/>
    <x v="4"/>
    <n v="9"/>
    <n v="2074.21"/>
    <n v="18667.89"/>
    <n v="5079.12"/>
    <x v="0"/>
  </r>
  <r>
    <s v="ORD-2024-00129"/>
    <x v="54"/>
    <s v="Rohan Rao"/>
    <x v="1"/>
    <x v="0"/>
    <x v="18"/>
    <n v="5"/>
    <n v="53021.37"/>
    <n v="265106.84999999998"/>
    <n v="33308.58"/>
    <x v="0"/>
  </r>
  <r>
    <s v="ORD-2024-00088"/>
    <x v="55"/>
    <s v="Rahul Rao"/>
    <x v="3"/>
    <x v="0"/>
    <x v="7"/>
    <n v="8"/>
    <n v="39645.26"/>
    <n v="317162.08"/>
    <n v="76594.59"/>
    <x v="0"/>
  </r>
  <r>
    <s v="ORD-2024-00188"/>
    <x v="55"/>
    <s v="Rohan Kulkarni"/>
    <x v="0"/>
    <x v="0"/>
    <x v="16"/>
    <n v="4"/>
    <n v="39449.24"/>
    <n v="157796.96"/>
    <n v="29348.55"/>
    <x v="0"/>
  </r>
  <r>
    <s v="ORD-2024-00085"/>
    <x v="56"/>
    <s v="Aanya Banerjee"/>
    <x v="2"/>
    <x v="0"/>
    <x v="10"/>
    <n v="10"/>
    <n v="15770.78"/>
    <n v="157707.79999999999"/>
    <n v="20533.45"/>
    <x v="0"/>
  </r>
  <r>
    <s v="ORD-2025-00308"/>
    <x v="56"/>
    <s v="Rohan Nair"/>
    <x v="2"/>
    <x v="0"/>
    <x v="18"/>
    <n v="9"/>
    <n v="41435.49"/>
    <n v="372919.41"/>
    <n v="73495.77"/>
    <x v="0"/>
  </r>
  <r>
    <s v="ORD-2025-00244"/>
    <x v="56"/>
    <s v="Vikram Basu"/>
    <x v="1"/>
    <x v="0"/>
    <x v="0"/>
    <n v="4"/>
    <n v="44608.54"/>
    <n v="178434.16"/>
    <n v="43319.040000000001"/>
    <x v="0"/>
  </r>
  <r>
    <s v="ORD-2024-00044"/>
    <x v="57"/>
    <s v="Pooja Singh"/>
    <x v="1"/>
    <x v="2"/>
    <x v="5"/>
    <n v="6"/>
    <n v="1006.53"/>
    <n v="6039.18"/>
    <n v="1464.64"/>
    <x v="0"/>
  </r>
  <r>
    <s v="ORD-2024-00175"/>
    <x v="58"/>
    <s v="Vikram Singh"/>
    <x v="2"/>
    <x v="0"/>
    <x v="16"/>
    <n v="1"/>
    <n v="7643.2"/>
    <n v="7643.2"/>
    <n v="1257.92"/>
    <x v="0"/>
  </r>
  <r>
    <s v="ORD-2024-00159"/>
    <x v="58"/>
    <s v="Meera Gupta"/>
    <x v="1"/>
    <x v="1"/>
    <x v="11"/>
    <n v="3"/>
    <n v="57555.98"/>
    <n v="172667.94"/>
    <n v="23090.25"/>
    <x v="0"/>
  </r>
  <r>
    <s v="ORD-2025-00263"/>
    <x v="59"/>
    <s v="Aditya Singh"/>
    <x v="0"/>
    <x v="2"/>
    <x v="9"/>
    <n v="1"/>
    <n v="706.82"/>
    <n v="706.82"/>
    <n v="137.18"/>
    <x v="0"/>
  </r>
  <r>
    <s v="ORD-2024-00053"/>
    <x v="60"/>
    <s v="Meera Singh"/>
    <x v="1"/>
    <x v="1"/>
    <x v="1"/>
    <n v="6"/>
    <n v="77284.7"/>
    <n v="463708.2"/>
    <n v="73260.12"/>
    <x v="0"/>
  </r>
  <r>
    <s v="ORD-2025-00218"/>
    <x v="61"/>
    <s v="Ira Sharma"/>
    <x v="2"/>
    <x v="0"/>
    <x v="10"/>
    <n v="8"/>
    <n v="50830.47"/>
    <n v="406643.76"/>
    <n v="83230.92"/>
    <x v="0"/>
  </r>
  <r>
    <s v="ORD-2025-00215"/>
    <x v="62"/>
    <s v="Meera Basu"/>
    <x v="0"/>
    <x v="0"/>
    <x v="7"/>
    <n v="10"/>
    <n v="22765.81"/>
    <n v="227658.1"/>
    <n v="55354.35"/>
    <x v="0"/>
  </r>
  <r>
    <s v="ORD-2024-00196"/>
    <x v="63"/>
    <s v="Ishaan Sharma"/>
    <x v="0"/>
    <x v="2"/>
    <x v="3"/>
    <n v="3"/>
    <n v="859.76"/>
    <n v="2579.2800000000002"/>
    <n v="493.43"/>
    <x v="0"/>
  </r>
  <r>
    <s v="ORD-2024-00157"/>
    <x v="64"/>
    <s v="Sara Nair"/>
    <x v="0"/>
    <x v="0"/>
    <x v="18"/>
    <n v="10"/>
    <n v="51050.41"/>
    <n v="510504.1"/>
    <n v="112290.13"/>
    <x v="0"/>
  </r>
  <r>
    <s v="ORD-2025-00298"/>
    <x v="65"/>
    <s v="Kabir Gupta"/>
    <x v="1"/>
    <x v="0"/>
    <x v="10"/>
    <n v="5"/>
    <n v="52655.16"/>
    <n v="263275.8"/>
    <n v="58506.43"/>
    <x v="0"/>
  </r>
  <r>
    <s v="ORD-2025-00232"/>
    <x v="66"/>
    <s v="Vikram Mishra"/>
    <x v="0"/>
    <x v="0"/>
    <x v="10"/>
    <n v="3"/>
    <n v="22575.71"/>
    <n v="67727.13"/>
    <n v="9975.3799999999992"/>
    <x v="0"/>
  </r>
  <r>
    <s v="ORD-2025-00295"/>
    <x v="67"/>
    <s v="Ira Menon"/>
    <x v="3"/>
    <x v="0"/>
    <x v="0"/>
    <n v="2"/>
    <n v="17178.75"/>
    <n v="34357.5"/>
    <n v="5446.35"/>
    <x v="0"/>
  </r>
  <r>
    <s v="ORD-2024-00132"/>
    <x v="68"/>
    <s v="Vihaan Sharma"/>
    <x v="1"/>
    <x v="2"/>
    <x v="9"/>
    <n v="5"/>
    <n v="1845.44"/>
    <n v="9227.2000000000007"/>
    <n v="2754.11"/>
    <x v="0"/>
  </r>
  <r>
    <s v="ORD-2024-00050"/>
    <x v="69"/>
    <s v="Sara Banerjee"/>
    <x v="1"/>
    <x v="0"/>
    <x v="10"/>
    <n v="9"/>
    <n v="45166.55"/>
    <n v="406498.95"/>
    <n v="76081.429999999993"/>
    <x v="0"/>
  </r>
  <r>
    <s v="ORD-2024-00177"/>
    <x v="70"/>
    <s v="Diya Gupta"/>
    <x v="0"/>
    <x v="1"/>
    <x v="14"/>
    <n v="6"/>
    <n v="9192.4500000000007"/>
    <n v="55154.7"/>
    <n v="7649.08"/>
    <x v="0"/>
  </r>
  <r>
    <s v="ORD-2025-00257"/>
    <x v="70"/>
    <s v="Sanjay Das"/>
    <x v="1"/>
    <x v="1"/>
    <x v="8"/>
    <n v="10"/>
    <n v="48375.06"/>
    <n v="483750.6"/>
    <n v="66589.070000000007"/>
    <x v="0"/>
  </r>
  <r>
    <s v="ORD-2025-00247"/>
    <x v="71"/>
    <s v="Meera Patel"/>
    <x v="2"/>
    <x v="1"/>
    <x v="13"/>
    <n v="3"/>
    <n v="12365.75"/>
    <n v="37097.25"/>
    <n v="5130.7"/>
    <x v="0"/>
  </r>
  <r>
    <s v="ORD-2025-00268"/>
    <x v="72"/>
    <s v="Rohan Gowda"/>
    <x v="0"/>
    <x v="1"/>
    <x v="12"/>
    <n v="4"/>
    <n v="15838.23"/>
    <n v="63352.92"/>
    <n v="5394.03"/>
    <x v="0"/>
  </r>
  <r>
    <s v="ORD-2024-00116"/>
    <x v="73"/>
    <s v="Aditya Khan"/>
    <x v="3"/>
    <x v="0"/>
    <x v="17"/>
    <n v="7"/>
    <n v="43233.73"/>
    <n v="302636.11"/>
    <n v="39904.629999999997"/>
    <x v="0"/>
  </r>
  <r>
    <s v="ORD-2025-00229"/>
    <x v="74"/>
    <s v="Pooja Joshi"/>
    <x v="0"/>
    <x v="2"/>
    <x v="2"/>
    <n v="1"/>
    <n v="890.09"/>
    <n v="890.09"/>
    <n v="187.16"/>
    <x v="0"/>
  </r>
  <r>
    <s v="ORD-2025-00252"/>
    <x v="75"/>
    <s v="Ananya Patel"/>
    <x v="0"/>
    <x v="0"/>
    <x v="10"/>
    <n v="7"/>
    <n v="27423.8"/>
    <n v="191966.6"/>
    <n v="42996.91"/>
    <x v="0"/>
  </r>
  <r>
    <s v="ORD-2025-00210"/>
    <x v="76"/>
    <s v="Kabir Yadav"/>
    <x v="1"/>
    <x v="0"/>
    <x v="0"/>
    <n v="8"/>
    <n v="21580.6"/>
    <n v="172644.8"/>
    <n v="34272.5"/>
    <x v="0"/>
  </r>
  <r>
    <s v="ORD-2024-00058"/>
    <x v="77"/>
    <s v="Vihaan Verma"/>
    <x v="2"/>
    <x v="2"/>
    <x v="2"/>
    <n v="5"/>
    <n v="121.4"/>
    <n v="607"/>
    <n v="127.71"/>
    <x v="0"/>
  </r>
  <r>
    <s v="ORD-2025-00288"/>
    <x v="77"/>
    <s v="Aarav Iyer"/>
    <x v="0"/>
    <x v="1"/>
    <x v="11"/>
    <n v="10"/>
    <n v="79909.03"/>
    <n v="799090.3"/>
    <n v="133980.70000000001"/>
    <x v="0"/>
  </r>
  <r>
    <s v="ORD-2024-00030"/>
    <x v="78"/>
    <s v="Ira Yadav"/>
    <x v="1"/>
    <x v="2"/>
    <x v="9"/>
    <n v="7"/>
    <n v="852.09"/>
    <n v="5964.63"/>
    <n v="1367.44"/>
    <x v="0"/>
  </r>
  <r>
    <s v="ORD-2025-00273"/>
    <x v="79"/>
    <s v="Neha Kulkarni"/>
    <x v="0"/>
    <x v="0"/>
    <x v="10"/>
    <n v="6"/>
    <n v="53262.23"/>
    <n v="319573.38"/>
    <n v="62869.67"/>
    <x v="0"/>
  </r>
  <r>
    <s v="ORD-2024-00065"/>
    <x v="79"/>
    <s v="Kiran Gowda"/>
    <x v="3"/>
    <x v="1"/>
    <x v="12"/>
    <n v="5"/>
    <n v="84730.58"/>
    <n v="423652.9"/>
    <n v="71321.710000000006"/>
    <x v="0"/>
  </r>
  <r>
    <s v="ORD-2025-00227"/>
    <x v="80"/>
    <s v="Kiran Joshi"/>
    <x v="0"/>
    <x v="2"/>
    <x v="2"/>
    <n v="9"/>
    <n v="1030.49"/>
    <n v="9274.41"/>
    <n v="2455.15"/>
    <x v="0"/>
  </r>
  <r>
    <s v="ORD-2025-00245"/>
    <x v="81"/>
    <s v="Aditya Banerjee"/>
    <x v="3"/>
    <x v="2"/>
    <x v="6"/>
    <n v="7"/>
    <n v="859.69"/>
    <n v="6017.83"/>
    <n v="2000.19"/>
    <x v="0"/>
  </r>
  <r>
    <s v="ORD-2025-00286"/>
    <x v="82"/>
    <s v="Ira Kulkarni"/>
    <x v="1"/>
    <x v="0"/>
    <x v="7"/>
    <n v="7"/>
    <n v="22961.32"/>
    <n v="160729.24"/>
    <n v="25875.439999999999"/>
    <x v="0"/>
  </r>
  <r>
    <s v="ORD-2024-00160"/>
    <x v="82"/>
    <s v="Aanya Joshi"/>
    <x v="3"/>
    <x v="1"/>
    <x v="8"/>
    <n v="6"/>
    <n v="53251.8"/>
    <n v="319510.8"/>
    <n v="47852.1"/>
    <x v="0"/>
  </r>
  <r>
    <s v="ORD-2024-00046"/>
    <x v="83"/>
    <s v="Ananya Chatterjee"/>
    <x v="2"/>
    <x v="2"/>
    <x v="3"/>
    <n v="3"/>
    <n v="786.75"/>
    <n v="2360.25"/>
    <n v="661.94"/>
    <x v="0"/>
  </r>
  <r>
    <s v="ORD-2024-00018"/>
    <x v="84"/>
    <s v="Vihaan Kulkarni"/>
    <x v="3"/>
    <x v="1"/>
    <x v="11"/>
    <n v="9"/>
    <n v="49528.6"/>
    <n v="445757.4"/>
    <n v="48867.199999999997"/>
    <x v="0"/>
  </r>
  <r>
    <s v="ORD-2025-00285"/>
    <x v="84"/>
    <s v="Sara Sharma"/>
    <x v="2"/>
    <x v="2"/>
    <x v="4"/>
    <n v="3"/>
    <n v="1950.19"/>
    <n v="5850.57"/>
    <n v="1745.63"/>
    <x v="0"/>
  </r>
  <r>
    <s v="ORD-2024-00128"/>
    <x v="85"/>
    <s v="Riya Kulkarni"/>
    <x v="1"/>
    <x v="1"/>
    <x v="13"/>
    <n v="1"/>
    <n v="36919.730000000003"/>
    <n v="36919.730000000003"/>
    <n v="3259.61"/>
    <x v="0"/>
  </r>
  <r>
    <s v="ORD-2024-00007"/>
    <x v="85"/>
    <s v="Rohan Gupta"/>
    <x v="1"/>
    <x v="2"/>
    <x v="3"/>
    <n v="3"/>
    <n v="407.9"/>
    <n v="1223.7"/>
    <n v="299.83"/>
    <x v="0"/>
  </r>
  <r>
    <s v="ORD-2024-00162"/>
    <x v="86"/>
    <s v="Vihaan Basu"/>
    <x v="1"/>
    <x v="0"/>
    <x v="0"/>
    <n v="2"/>
    <n v="28919.7"/>
    <n v="57839.4"/>
    <n v="11466.75"/>
    <x v="0"/>
  </r>
  <r>
    <s v="ORD-2024-00104"/>
    <x v="87"/>
    <s v="Aarav Verma"/>
    <x v="1"/>
    <x v="1"/>
    <x v="11"/>
    <n v="2"/>
    <n v="62820.800000000003"/>
    <n v="125641.60000000001"/>
    <n v="17953.47"/>
    <x v="0"/>
  </r>
  <r>
    <s v="ORD-2025-00278"/>
    <x v="88"/>
    <s v="Pooja Basu"/>
    <x v="1"/>
    <x v="2"/>
    <x v="9"/>
    <n v="9"/>
    <n v="1036.19"/>
    <n v="9325.7099999999991"/>
    <n v="2703.83"/>
    <x v="0"/>
  </r>
  <r>
    <s v="ORD-2024-00138"/>
    <x v="89"/>
    <s v="Aanya Iyer"/>
    <x v="0"/>
    <x v="0"/>
    <x v="7"/>
    <n v="4"/>
    <n v="17852.59"/>
    <n v="71410.36"/>
    <n v="14165.08"/>
    <x v="0"/>
  </r>
  <r>
    <s v="ORD-2024-00015"/>
    <x v="90"/>
    <s v="Sara Iyer"/>
    <x v="3"/>
    <x v="0"/>
    <x v="10"/>
    <n v="8"/>
    <n v="49341.71"/>
    <n v="394733.68"/>
    <n v="76640.59"/>
    <x v="0"/>
  </r>
  <r>
    <s v="ORD-2024-00027"/>
    <x v="91"/>
    <s v="Ishaan Basu"/>
    <x v="3"/>
    <x v="2"/>
    <x v="9"/>
    <n v="10"/>
    <n v="1738.79"/>
    <n v="17387.900000000001"/>
    <n v="4428.4799999999996"/>
    <x v="0"/>
  </r>
  <r>
    <s v="ORD-2024-00130"/>
    <x v="92"/>
    <s v="Aditya Singh"/>
    <x v="3"/>
    <x v="0"/>
    <x v="18"/>
    <n v="5"/>
    <n v="54621.51"/>
    <n v="273107.55"/>
    <n v="41755.06"/>
    <x v="0"/>
  </r>
  <r>
    <s v="ORD-2024-00118"/>
    <x v="93"/>
    <s v="Rohan Basu"/>
    <x v="2"/>
    <x v="0"/>
    <x v="16"/>
    <n v="2"/>
    <n v="30570.27"/>
    <n v="61140.54"/>
    <n v="15035.97"/>
    <x v="0"/>
  </r>
  <r>
    <s v="ORD-2025-00271"/>
    <x v="94"/>
    <s v="Neha Patel"/>
    <x v="0"/>
    <x v="2"/>
    <x v="5"/>
    <n v="8"/>
    <n v="2834.46"/>
    <n v="22675.68"/>
    <n v="5757.82"/>
    <x v="0"/>
  </r>
  <r>
    <s v="ORD-2024-00026"/>
    <x v="95"/>
    <s v="Vikram Banerjee"/>
    <x v="2"/>
    <x v="0"/>
    <x v="16"/>
    <n v="7"/>
    <n v="13895.99"/>
    <n v="97271.93"/>
    <n v="12183.93"/>
    <x v="0"/>
  </r>
  <r>
    <s v="ORD-2024-00093"/>
    <x v="95"/>
    <s v="Aarav Yadav"/>
    <x v="2"/>
    <x v="2"/>
    <x v="3"/>
    <n v="5"/>
    <n v="3065.29"/>
    <n v="15326.45"/>
    <n v="3992.39"/>
    <x v="0"/>
  </r>
  <r>
    <s v="ORD-2024-00126"/>
    <x v="96"/>
    <s v="Pooja Sharma"/>
    <x v="2"/>
    <x v="0"/>
    <x v="17"/>
    <n v="4"/>
    <n v="31945.25"/>
    <n v="127781"/>
    <n v="17307.47"/>
    <x v="0"/>
  </r>
  <r>
    <s v="ORD-2024-00096"/>
    <x v="97"/>
    <s v="Rohan Rao"/>
    <x v="3"/>
    <x v="2"/>
    <x v="3"/>
    <n v="3"/>
    <n v="110.45"/>
    <n v="331.35"/>
    <n v="87.98"/>
    <x v="0"/>
  </r>
  <r>
    <s v="ORD-2024-00184"/>
    <x v="97"/>
    <s v="Diya Menon"/>
    <x v="3"/>
    <x v="1"/>
    <x v="12"/>
    <n v="4"/>
    <n v="80850.009999999995"/>
    <n v="323400.03999999998"/>
    <n v="57224.68"/>
    <x v="0"/>
  </r>
  <r>
    <s v="ORD-2025-00203"/>
    <x v="98"/>
    <s v="Neha Kulkarni"/>
    <x v="1"/>
    <x v="1"/>
    <x v="13"/>
    <n v="2"/>
    <n v="36146.17"/>
    <n v="72292.34"/>
    <n v="9712.86"/>
    <x v="0"/>
  </r>
  <r>
    <s v="ORD-2024-00042"/>
    <x v="98"/>
    <s v="Rohan Iyer"/>
    <x v="2"/>
    <x v="1"/>
    <x v="8"/>
    <n v="2"/>
    <n v="57640.09"/>
    <n v="115280.18"/>
    <n v="15343.04"/>
    <x v="0"/>
  </r>
  <r>
    <s v="ORD-2025-00266"/>
    <x v="99"/>
    <s v="Aarav Verma"/>
    <x v="3"/>
    <x v="0"/>
    <x v="7"/>
    <n v="7"/>
    <n v="52272.71"/>
    <n v="365908.97"/>
    <n v="75478.7"/>
    <x v="0"/>
  </r>
  <r>
    <s v="ORD-2024-00198"/>
    <x v="100"/>
    <s v="Aditya Nair"/>
    <x v="2"/>
    <x v="2"/>
    <x v="3"/>
    <n v="3"/>
    <n v="846.43"/>
    <n v="2539.29"/>
    <n v="527.98"/>
    <x v="0"/>
  </r>
  <r>
    <s v="ORD-2024-00034"/>
    <x v="101"/>
    <s v="Aditya Singh"/>
    <x v="1"/>
    <x v="2"/>
    <x v="9"/>
    <n v="1"/>
    <n v="3631.97"/>
    <n v="3631.97"/>
    <n v="794.49"/>
    <x v="0"/>
  </r>
  <r>
    <s v="ORD-2025-00207"/>
    <x v="101"/>
    <s v="Diya Menon"/>
    <x v="0"/>
    <x v="0"/>
    <x v="10"/>
    <n v="6"/>
    <n v="32035.52"/>
    <n v="192213.12"/>
    <n v="41866.400000000001"/>
    <x v="0"/>
  </r>
  <r>
    <s v="ORD-2024-00037"/>
    <x v="102"/>
    <s v="Aanya Joshi"/>
    <x v="1"/>
    <x v="2"/>
    <x v="4"/>
    <n v="6"/>
    <n v="1383.58"/>
    <n v="8301.48"/>
    <n v="1803"/>
    <x v="0"/>
  </r>
  <r>
    <s v="ORD-2025-00255"/>
    <x v="103"/>
    <s v="Vikram Sharma"/>
    <x v="2"/>
    <x v="2"/>
    <x v="6"/>
    <n v="10"/>
    <n v="1715.73"/>
    <n v="17157.3"/>
    <n v="4621.62"/>
    <x v="0"/>
  </r>
  <r>
    <s v="ORD-2024-00195"/>
    <x v="104"/>
    <s v="Kabir Joshi"/>
    <x v="1"/>
    <x v="0"/>
    <x v="17"/>
    <n v="5"/>
    <n v="23178.28"/>
    <n v="115891.4"/>
    <n v="24918.13"/>
    <x v="0"/>
  </r>
  <r>
    <s v="ORD-2025-00254"/>
    <x v="105"/>
    <s v="Ishaan Banerjee"/>
    <x v="0"/>
    <x v="0"/>
    <x v="10"/>
    <n v="9"/>
    <n v="22857.19"/>
    <n v="205714.71"/>
    <n v="28412.55"/>
    <x v="0"/>
  </r>
  <r>
    <s v="ORD-2025-00242"/>
    <x v="106"/>
    <s v="Kiran Mishra"/>
    <x v="3"/>
    <x v="2"/>
    <x v="9"/>
    <n v="3"/>
    <n v="2299.3000000000002"/>
    <n v="6897.9"/>
    <n v="2007.06"/>
    <x v="0"/>
  </r>
  <r>
    <s v="ORD-2024-00141"/>
    <x v="107"/>
    <s v="Aditya Yadav"/>
    <x v="0"/>
    <x v="2"/>
    <x v="2"/>
    <n v="5"/>
    <n v="2228.77"/>
    <n v="11143.85"/>
    <n v="2055.84"/>
    <x v="0"/>
  </r>
  <r>
    <s v="ORD-2024-00183"/>
    <x v="108"/>
    <s v="Neha Kulkarni"/>
    <x v="2"/>
    <x v="2"/>
    <x v="9"/>
    <n v="5"/>
    <n v="122.06"/>
    <n v="610.29999999999995"/>
    <n v="211.78"/>
    <x v="0"/>
  </r>
  <r>
    <s v="ORD-2024-00008"/>
    <x v="109"/>
    <s v="Rohan Patel"/>
    <x v="1"/>
    <x v="1"/>
    <x v="8"/>
    <n v="3"/>
    <n v="53928.69"/>
    <n v="161786.07"/>
    <n v="26855.52"/>
    <x v="0"/>
  </r>
  <r>
    <s v="ORD-2025-00292"/>
    <x v="110"/>
    <s v="Sara Banerjee"/>
    <x v="2"/>
    <x v="2"/>
    <x v="9"/>
    <n v="8"/>
    <n v="1945.14"/>
    <n v="15561.12"/>
    <n v="3519.72"/>
    <x v="0"/>
  </r>
  <r>
    <s v="ORD-2024-00090"/>
    <x v="111"/>
    <s v="Vikram Chatterjee"/>
    <x v="3"/>
    <x v="1"/>
    <x v="12"/>
    <n v="10"/>
    <n v="5722.88"/>
    <n v="57228.800000000003"/>
    <n v="6615.49"/>
    <x v="0"/>
  </r>
  <r>
    <s v="ORD-2024-00150"/>
    <x v="112"/>
    <s v="Sara Basu"/>
    <x v="3"/>
    <x v="0"/>
    <x v="17"/>
    <n v="6"/>
    <n v="29192.55"/>
    <n v="175155.3"/>
    <n v="39949.120000000003"/>
    <x v="0"/>
  </r>
  <r>
    <s v="ORD-2025-00290"/>
    <x v="113"/>
    <s v="Rohan Menon"/>
    <x v="1"/>
    <x v="0"/>
    <x v="18"/>
    <n v="2"/>
    <n v="48258.95"/>
    <n v="96517.9"/>
    <n v="23364.94"/>
    <x v="0"/>
  </r>
  <r>
    <s v="ORD-2024-00124"/>
    <x v="114"/>
    <s v="Rohan Rao"/>
    <x v="0"/>
    <x v="1"/>
    <x v="1"/>
    <n v="6"/>
    <n v="8889.81"/>
    <n v="53338.86"/>
    <n v="8027.95"/>
    <x v="0"/>
  </r>
  <r>
    <s v="ORD-2024-00016"/>
    <x v="114"/>
    <s v="Diya Reddy"/>
    <x v="1"/>
    <x v="2"/>
    <x v="4"/>
    <n v="8"/>
    <n v="228.65"/>
    <n v="1829.2"/>
    <n v="591.88"/>
    <x v="0"/>
  </r>
  <r>
    <s v="ORD-2024-00068"/>
    <x v="115"/>
    <s v="Kiran Basu"/>
    <x v="3"/>
    <x v="0"/>
    <x v="10"/>
    <n v="7"/>
    <n v="21918.26"/>
    <n v="153427.82"/>
    <n v="23766.23"/>
    <x v="0"/>
  </r>
  <r>
    <s v="ORD-2024-00140"/>
    <x v="116"/>
    <s v="Ananya Basu"/>
    <x v="2"/>
    <x v="2"/>
    <x v="9"/>
    <n v="9"/>
    <n v="2345.59"/>
    <n v="21110.31"/>
    <n v="5300.83"/>
    <x v="0"/>
  </r>
  <r>
    <s v="ORD-2024-00168"/>
    <x v="117"/>
    <s v="Aditya Nair"/>
    <x v="1"/>
    <x v="2"/>
    <x v="2"/>
    <n v="3"/>
    <n v="383.84"/>
    <n v="1151.52"/>
    <n v="243.4"/>
    <x v="0"/>
  </r>
  <r>
    <s v="ORD-2024-00098"/>
    <x v="118"/>
    <s v="Reyansh Gowda"/>
    <x v="0"/>
    <x v="2"/>
    <x v="4"/>
    <n v="4"/>
    <n v="154.72"/>
    <n v="618.88"/>
    <n v="171.94"/>
    <x v="0"/>
  </r>
  <r>
    <s v="ORD-2024-00133"/>
    <x v="119"/>
    <s v="Aarav Gowda"/>
    <x v="1"/>
    <x v="1"/>
    <x v="8"/>
    <n v="9"/>
    <n v="81252.479999999996"/>
    <n v="731272.32"/>
    <n v="125431.8"/>
    <x v="0"/>
  </r>
  <r>
    <s v="ORD-2024-00191"/>
    <x v="119"/>
    <s v="Sara Kulkarni"/>
    <x v="0"/>
    <x v="1"/>
    <x v="13"/>
    <n v="2"/>
    <n v="6086.38"/>
    <n v="12172.76"/>
    <n v="1526.79"/>
    <x v="0"/>
  </r>
  <r>
    <s v="ORD-2025-00250"/>
    <x v="120"/>
    <s v="Ishaan Singh"/>
    <x v="1"/>
    <x v="0"/>
    <x v="7"/>
    <n v="9"/>
    <n v="19771.34"/>
    <n v="177942.06"/>
    <n v="31441.73"/>
    <x v="0"/>
  </r>
  <r>
    <s v="ORD-2024-00192"/>
    <x v="120"/>
    <s v="Aarav Basu"/>
    <x v="2"/>
    <x v="0"/>
    <x v="17"/>
    <n v="2"/>
    <n v="4609.57"/>
    <n v="9219.14"/>
    <n v="1492.63"/>
    <x v="0"/>
  </r>
  <r>
    <s v="ORD-2025-00237"/>
    <x v="121"/>
    <s v="Sanjay Mishra"/>
    <x v="1"/>
    <x v="1"/>
    <x v="8"/>
    <n v="7"/>
    <n v="77768.03"/>
    <n v="544376.21"/>
    <n v="84555.03"/>
    <x v="0"/>
  </r>
  <r>
    <s v="ORD-2025-00243"/>
    <x v="121"/>
    <s v="Ananya Patel"/>
    <x v="3"/>
    <x v="2"/>
    <x v="3"/>
    <n v="8"/>
    <n v="442.79"/>
    <n v="3542.32"/>
    <n v="1072.56"/>
    <x v="0"/>
  </r>
  <r>
    <s v="ORD-2024-00100"/>
    <x v="122"/>
    <s v="Pooja Gowda"/>
    <x v="3"/>
    <x v="1"/>
    <x v="1"/>
    <n v="1"/>
    <n v="35670.080000000002"/>
    <n v="35670.080000000002"/>
    <n v="5177.46"/>
    <x v="0"/>
  </r>
  <r>
    <s v="ORD-2024-00084"/>
    <x v="123"/>
    <s v="Ishaan Rao"/>
    <x v="1"/>
    <x v="0"/>
    <x v="10"/>
    <n v="10"/>
    <n v="53361.08"/>
    <n v="533610.80000000005"/>
    <n v="86436.59"/>
    <x v="0"/>
  </r>
  <r>
    <s v="ORD-2024-00089"/>
    <x v="124"/>
    <s v="Sara Reddy"/>
    <x v="3"/>
    <x v="1"/>
    <x v="12"/>
    <n v="5"/>
    <n v="47227.62"/>
    <n v="236138.1"/>
    <n v="33336.11"/>
    <x v="0"/>
  </r>
  <r>
    <s v="ORD-2024-00110"/>
    <x v="125"/>
    <s v="Kiran Yadav"/>
    <x v="0"/>
    <x v="1"/>
    <x v="8"/>
    <n v="4"/>
    <n v="48787.98"/>
    <n v="195151.92"/>
    <n v="31740.63"/>
    <x v="0"/>
  </r>
  <r>
    <s v="ORD-2025-00274"/>
    <x v="126"/>
    <s v="Ishaan Kulkarni"/>
    <x v="0"/>
    <x v="0"/>
    <x v="16"/>
    <n v="1"/>
    <n v="18125.29"/>
    <n v="18125.29"/>
    <n v="2497.42"/>
    <x v="0"/>
  </r>
  <r>
    <s v="ORD-2024-00005"/>
    <x v="127"/>
    <s v="Sanjay Chatterjee"/>
    <x v="2"/>
    <x v="2"/>
    <x v="6"/>
    <n v="10"/>
    <n v="2489.0500000000002"/>
    <n v="24890.5"/>
    <n v="6700.74"/>
    <x v="0"/>
  </r>
  <r>
    <s v="ORD-2024-00143"/>
    <x v="128"/>
    <s v="Kiran Khan"/>
    <x v="2"/>
    <x v="0"/>
    <x v="18"/>
    <n v="6"/>
    <n v="21691.93"/>
    <n v="130151.58"/>
    <n v="29647.4"/>
    <x v="0"/>
  </r>
  <r>
    <s v="ORD-2025-00214"/>
    <x v="129"/>
    <s v="Rohan Basu"/>
    <x v="0"/>
    <x v="2"/>
    <x v="9"/>
    <n v="10"/>
    <n v="1415.5"/>
    <n v="14155"/>
    <n v="3372.13"/>
    <x v="0"/>
  </r>
  <r>
    <s v="ORD-2025-00234"/>
    <x v="130"/>
    <s v="Vihaan Joshi"/>
    <x v="1"/>
    <x v="2"/>
    <x v="9"/>
    <n v="3"/>
    <n v="3354.43"/>
    <n v="10063.290000000001"/>
    <n v="1923.8"/>
    <x v="0"/>
  </r>
  <r>
    <s v="ORD-2025-00317"/>
    <x v="131"/>
    <s v="Vihaan Mishra"/>
    <x v="0"/>
    <x v="0"/>
    <x v="0"/>
    <n v="3"/>
    <n v="48470.29"/>
    <n v="145410.87"/>
    <n v="33860.51"/>
    <x v="0"/>
  </r>
  <r>
    <s v="ORD-2024-00094"/>
    <x v="131"/>
    <s v="Aditya Kulkarni"/>
    <x v="1"/>
    <x v="0"/>
    <x v="16"/>
    <n v="5"/>
    <n v="26199.45"/>
    <n v="130997.25"/>
    <n v="22506.06"/>
    <x v="0"/>
  </r>
  <r>
    <s v="ORD-2025-00264"/>
    <x v="132"/>
    <s v="Pooja Patel"/>
    <x v="0"/>
    <x v="0"/>
    <x v="17"/>
    <n v="5"/>
    <n v="42679.040000000001"/>
    <n v="213395.20000000001"/>
    <n v="48829.15"/>
    <x v="0"/>
  </r>
  <r>
    <s v="ORD-2025-00296"/>
    <x v="133"/>
    <s v="Ira Verma"/>
    <x v="0"/>
    <x v="2"/>
    <x v="4"/>
    <n v="1"/>
    <n v="216.27"/>
    <n v="216.27"/>
    <n v="72.400000000000006"/>
    <x v="0"/>
  </r>
  <r>
    <s v="ORD-2025-00201"/>
    <x v="134"/>
    <s v="Kiran Basu"/>
    <x v="0"/>
    <x v="0"/>
    <x v="10"/>
    <n v="3"/>
    <n v="39601.5"/>
    <n v="118804.5"/>
    <n v="23895.53"/>
    <x v="0"/>
  </r>
  <r>
    <s v="ORD-2024-00197"/>
    <x v="135"/>
    <s v="Ira Basu"/>
    <x v="1"/>
    <x v="2"/>
    <x v="6"/>
    <n v="8"/>
    <n v="2900.31"/>
    <n v="23202.48"/>
    <n v="7442.19"/>
    <x v="0"/>
  </r>
  <r>
    <s v="ORD-2024-00169"/>
    <x v="136"/>
    <s v="Vikram Gowda"/>
    <x v="2"/>
    <x v="2"/>
    <x v="3"/>
    <n v="6"/>
    <n v="1513.36"/>
    <n v="9080.16"/>
    <n v="1998.9"/>
    <x v="0"/>
  </r>
  <r>
    <s v="ORD-2024-00154"/>
    <x v="137"/>
    <s v="Diya Joshi"/>
    <x v="1"/>
    <x v="0"/>
    <x v="7"/>
    <n v="3"/>
    <n v="32937.57"/>
    <n v="98812.71"/>
    <n v="23472.03"/>
    <x v="0"/>
  </r>
  <r>
    <s v="ORD-2024-00151"/>
    <x v="137"/>
    <s v="Aditya Nair"/>
    <x v="2"/>
    <x v="2"/>
    <x v="6"/>
    <n v="6"/>
    <n v="3416.12"/>
    <n v="20496.72"/>
    <n v="7062.26"/>
    <x v="0"/>
  </r>
  <r>
    <s v="ORD-2024-00155"/>
    <x v="138"/>
    <s v="Rahul Mishra"/>
    <x v="3"/>
    <x v="0"/>
    <x v="17"/>
    <n v="1"/>
    <n v="30652.61"/>
    <n v="30652.61"/>
    <n v="6801.04"/>
    <x v="0"/>
  </r>
  <r>
    <s v="ORD-2024-00004"/>
    <x v="139"/>
    <s v="Rahul Gowda"/>
    <x v="2"/>
    <x v="1"/>
    <x v="11"/>
    <n v="6"/>
    <n v="87337.02"/>
    <n v="524022.12"/>
    <n v="41962.58"/>
    <x v="0"/>
  </r>
  <r>
    <s v="ORD-2025-00224"/>
    <x v="139"/>
    <s v="Kiran Gupta"/>
    <x v="0"/>
    <x v="2"/>
    <x v="2"/>
    <n v="4"/>
    <n v="1374.03"/>
    <n v="5496.12"/>
    <n v="1725.37"/>
    <x v="0"/>
  </r>
  <r>
    <s v="ORD-2024-00180"/>
    <x v="140"/>
    <s v="Pooja Joshi"/>
    <x v="1"/>
    <x v="0"/>
    <x v="17"/>
    <n v="5"/>
    <n v="54274.52"/>
    <n v="271372.59999999998"/>
    <n v="65503.9"/>
    <x v="0"/>
  </r>
  <r>
    <s v="ORD-2024-00010"/>
    <x v="141"/>
    <s v="Kiran Basu"/>
    <x v="3"/>
    <x v="1"/>
    <x v="14"/>
    <n v="10"/>
    <n v="51351.01"/>
    <n v="513510.1"/>
    <n v="56723.03"/>
    <x v="0"/>
  </r>
  <r>
    <s v="ORD-2025-00233"/>
    <x v="142"/>
    <s v="Vikram Gupta"/>
    <x v="1"/>
    <x v="2"/>
    <x v="6"/>
    <n v="1"/>
    <n v="860.3"/>
    <n v="860.3"/>
    <n v="160.19999999999999"/>
    <x v="0"/>
  </r>
  <r>
    <s v="ORD-2025-00276"/>
    <x v="142"/>
    <s v="Aditya Iyer"/>
    <x v="1"/>
    <x v="2"/>
    <x v="3"/>
    <n v="3"/>
    <n v="3834.77"/>
    <n v="11504.31"/>
    <n v="3502.81"/>
    <x v="0"/>
  </r>
  <r>
    <s v="ORD-2024-00190"/>
    <x v="143"/>
    <s v="Sanjay Verma"/>
    <x v="3"/>
    <x v="2"/>
    <x v="3"/>
    <n v="4"/>
    <n v="394.8"/>
    <n v="1579.2"/>
    <n v="370.34"/>
    <x v="0"/>
  </r>
  <r>
    <s v="ORD-2024-00069"/>
    <x v="144"/>
    <s v="Rahul Sharma"/>
    <x v="3"/>
    <x v="2"/>
    <x v="4"/>
    <n v="9"/>
    <n v="719.5"/>
    <n v="6475.5"/>
    <n v="1600.08"/>
    <x v="0"/>
  </r>
  <r>
    <s v="ORD-2025-00212"/>
    <x v="145"/>
    <s v="Kabir Chatterjee"/>
    <x v="0"/>
    <x v="1"/>
    <x v="14"/>
    <n v="2"/>
    <n v="65419.35"/>
    <n v="130838.7"/>
    <n v="10626.76"/>
    <x v="0"/>
  </r>
  <r>
    <s v="ORD-2024-00097"/>
    <x v="146"/>
    <s v="Aanya Chatterjee"/>
    <x v="3"/>
    <x v="2"/>
    <x v="6"/>
    <n v="8"/>
    <n v="2751.66"/>
    <n v="22013.279999999999"/>
    <n v="7494.68"/>
    <x v="0"/>
  </r>
  <r>
    <s v="ORD-2025-00275"/>
    <x v="147"/>
    <s v="Sara Mishra"/>
    <x v="0"/>
    <x v="0"/>
    <x v="7"/>
    <n v="1"/>
    <n v="38352.14"/>
    <n v="38352.14"/>
    <n v="5525.29"/>
    <x v="0"/>
  </r>
  <r>
    <s v="ORD-2025-00303"/>
    <x v="147"/>
    <s v="Rohan Menon"/>
    <x v="0"/>
    <x v="1"/>
    <x v="8"/>
    <n v="9"/>
    <n v="5654.66"/>
    <n v="50891.94"/>
    <n v="5193.45"/>
    <x v="0"/>
  </r>
  <r>
    <s v="ORD-2024-00134"/>
    <x v="147"/>
    <s v="Meera Patel"/>
    <x v="1"/>
    <x v="1"/>
    <x v="11"/>
    <n v="8"/>
    <n v="85611.42"/>
    <n v="684891.36"/>
    <n v="81811.77"/>
    <x v="0"/>
  </r>
  <r>
    <s v="ORD-2024-00033"/>
    <x v="148"/>
    <s v="Diya Verma"/>
    <x v="2"/>
    <x v="0"/>
    <x v="18"/>
    <n v="7"/>
    <n v="18649.759999999998"/>
    <n v="130548.32"/>
    <n v="30873.62"/>
    <x v="0"/>
  </r>
  <r>
    <s v="ORD-2025-00311"/>
    <x v="149"/>
    <s v="Aanya Reddy"/>
    <x v="2"/>
    <x v="1"/>
    <x v="13"/>
    <n v="8"/>
    <n v="4634.88"/>
    <n v="37079.040000000001"/>
    <n v="6420.57"/>
    <x v="0"/>
  </r>
  <r>
    <s v="ORD-2024-00057"/>
    <x v="150"/>
    <s v="Aanya Verma"/>
    <x v="1"/>
    <x v="1"/>
    <x v="13"/>
    <n v="3"/>
    <n v="44476.82"/>
    <n v="133430.46"/>
    <n v="19373.59"/>
    <x v="0"/>
  </r>
  <r>
    <s v="ORD-2024-00017"/>
    <x v="150"/>
    <s v="Sanjay Nair"/>
    <x v="0"/>
    <x v="0"/>
    <x v="18"/>
    <n v="8"/>
    <n v="30235.439999999999"/>
    <n v="241883.51999999999"/>
    <n v="40244.080000000002"/>
    <x v="0"/>
  </r>
  <r>
    <s v="ORD-2025-00294"/>
    <x v="151"/>
    <s v="Rahul Patel"/>
    <x v="3"/>
    <x v="1"/>
    <x v="8"/>
    <n v="1"/>
    <n v="66776.03"/>
    <n v="66776.03"/>
    <n v="6079.78"/>
    <x v="0"/>
  </r>
  <r>
    <s v="ORD-2024-00080"/>
    <x v="152"/>
    <s v="Aanya Nair"/>
    <x v="3"/>
    <x v="1"/>
    <x v="13"/>
    <n v="10"/>
    <n v="23647.25"/>
    <n v="236472.5"/>
    <n v="38370.04"/>
    <x v="0"/>
  </r>
  <r>
    <s v="ORD-2024-00111"/>
    <x v="152"/>
    <s v="Rahul Chatterjee"/>
    <x v="3"/>
    <x v="0"/>
    <x v="17"/>
    <n v="3"/>
    <n v="17212.77"/>
    <n v="51638.31"/>
    <n v="8809.2999999999993"/>
    <x v="0"/>
  </r>
  <r>
    <s v="ORD-2025-00300"/>
    <x v="153"/>
    <s v="Riya Basu"/>
    <x v="0"/>
    <x v="1"/>
    <x v="11"/>
    <n v="2"/>
    <n v="42865.03"/>
    <n v="85730.06"/>
    <n v="8290.39"/>
    <x v="0"/>
  </r>
  <r>
    <s v="ORD-2024-00083"/>
    <x v="154"/>
    <s v="Rohan Chatterjee"/>
    <x v="0"/>
    <x v="1"/>
    <x v="11"/>
    <n v="7"/>
    <n v="49346.21"/>
    <n v="345423.47"/>
    <n v="32412.92"/>
    <x v="0"/>
  </r>
  <r>
    <s v="ORD-2025-00309"/>
    <x v="155"/>
    <s v="Rahul Patel"/>
    <x v="3"/>
    <x v="1"/>
    <x v="12"/>
    <n v="9"/>
    <n v="9596.59"/>
    <n v="86369.31"/>
    <n v="10288.049999999999"/>
    <x v="0"/>
  </r>
  <r>
    <s v="ORD-2024-00161"/>
    <x v="156"/>
    <s v="Ira Sharma"/>
    <x v="1"/>
    <x v="0"/>
    <x v="10"/>
    <n v="9"/>
    <n v="38671.78"/>
    <n v="348046.02"/>
    <n v="82341.600000000006"/>
    <x v="0"/>
  </r>
  <r>
    <s v="ORD-2024-00127"/>
    <x v="157"/>
    <s v="Kabir Banerjee"/>
    <x v="2"/>
    <x v="2"/>
    <x v="3"/>
    <n v="3"/>
    <n v="2989.64"/>
    <n v="8968.92"/>
    <n v="2503.88"/>
    <x v="0"/>
  </r>
  <r>
    <s v="ORD-2024-00114"/>
    <x v="158"/>
    <s v="Sara Banerjee"/>
    <x v="0"/>
    <x v="2"/>
    <x v="6"/>
    <n v="5"/>
    <n v="378.97"/>
    <n v="1894.85"/>
    <n v="435.52"/>
    <x v="1"/>
  </r>
  <r>
    <s v="ORD-2024-00178"/>
    <x v="159"/>
    <s v="Sanjay Nair"/>
    <x v="1"/>
    <x v="0"/>
    <x v="0"/>
    <n v="10"/>
    <n v="31567.87"/>
    <n v="315678.7"/>
    <n v="49527.11"/>
    <x v="1"/>
  </r>
  <r>
    <s v="ORD-2025-00283"/>
    <x v="160"/>
    <s v="Ananya Patel"/>
    <x v="2"/>
    <x v="0"/>
    <x v="17"/>
    <n v="2"/>
    <n v="46636.76"/>
    <n v="93273.52"/>
    <n v="17527.63"/>
    <x v="1"/>
  </r>
  <r>
    <s v="ORD-2024-00142"/>
    <x v="161"/>
    <s v="Neha Singh"/>
    <x v="3"/>
    <x v="1"/>
    <x v="8"/>
    <n v="1"/>
    <n v="73233.97"/>
    <n v="73233.97"/>
    <n v="8617.73"/>
    <x v="1"/>
  </r>
  <r>
    <s v="ORD-2025-00293"/>
    <x v="162"/>
    <s v="Kiran Chatterjee"/>
    <x v="0"/>
    <x v="0"/>
    <x v="17"/>
    <n v="9"/>
    <n v="42533.11"/>
    <n v="382797.99"/>
    <n v="62674.81"/>
    <x v="1"/>
  </r>
  <r>
    <s v="ORD-2025-00299"/>
    <x v="163"/>
    <s v="Aarav Singh"/>
    <x v="3"/>
    <x v="0"/>
    <x v="0"/>
    <n v="8"/>
    <n v="23665.85"/>
    <n v="189326.8"/>
    <n v="44481.55"/>
    <x v="1"/>
  </r>
  <r>
    <s v="ORD-2024-00099"/>
    <x v="163"/>
    <s v="Aarav Joshi"/>
    <x v="3"/>
    <x v="0"/>
    <x v="17"/>
    <n v="3"/>
    <n v="8113.32"/>
    <n v="24339.96"/>
    <n v="5517.46"/>
    <x v="1"/>
  </r>
  <r>
    <s v="ORD-2024-00145"/>
    <x v="164"/>
    <s v="Pooja Gupta"/>
    <x v="0"/>
    <x v="0"/>
    <x v="16"/>
    <n v="7"/>
    <n v="1935.55"/>
    <n v="13548.85"/>
    <n v="3148.94"/>
    <x v="1"/>
  </r>
  <r>
    <s v="ORD-2025-00249"/>
    <x v="165"/>
    <s v="Sanjay Chatterjee"/>
    <x v="0"/>
    <x v="0"/>
    <x v="7"/>
    <n v="7"/>
    <n v="20732.59"/>
    <n v="145128.13"/>
    <n v="22472.84"/>
    <x v="1"/>
  </r>
  <r>
    <s v="ORD-2025-00226"/>
    <x v="165"/>
    <s v="Pooja Joshi"/>
    <x v="2"/>
    <x v="0"/>
    <x v="18"/>
    <n v="2"/>
    <n v="26254.67"/>
    <n v="52509.34"/>
    <n v="12570.69"/>
    <x v="1"/>
  </r>
  <r>
    <s v="ORD-2024-00013"/>
    <x v="166"/>
    <s v="Diya Patel"/>
    <x v="1"/>
    <x v="0"/>
    <x v="0"/>
    <n v="6"/>
    <n v="17970.060000000001"/>
    <n v="107820.36"/>
    <n v="15853.09"/>
    <x v="1"/>
  </r>
  <r>
    <s v="ORD-2024-00187"/>
    <x v="167"/>
    <s v="Meera Iyer"/>
    <x v="1"/>
    <x v="2"/>
    <x v="3"/>
    <n v="5"/>
    <n v="1932.65"/>
    <n v="9663.25"/>
    <n v="2046.65"/>
    <x v="1"/>
  </r>
  <r>
    <s v="ORD-2024-00106"/>
    <x v="168"/>
    <s v="Aanya Rao"/>
    <x v="0"/>
    <x v="2"/>
    <x v="5"/>
    <n v="8"/>
    <n v="1722.71"/>
    <n v="13781.68"/>
    <n v="4371.0200000000004"/>
    <x v="1"/>
  </r>
  <r>
    <s v="ORD-2025-00312"/>
    <x v="169"/>
    <s v="Reyansh Singh"/>
    <x v="1"/>
    <x v="2"/>
    <x v="9"/>
    <n v="8"/>
    <n v="393.6"/>
    <n v="3148.8"/>
    <n v="702.03"/>
    <x v="1"/>
  </r>
  <r>
    <s v="ORD-2024-00112"/>
    <x v="170"/>
    <s v="Meera Banerjee"/>
    <x v="0"/>
    <x v="1"/>
    <x v="14"/>
    <n v="3"/>
    <n v="86330.92"/>
    <n v="258992.76"/>
    <n v="23083.68"/>
    <x v="1"/>
  </r>
  <r>
    <s v="ORD-2025-00216"/>
    <x v="170"/>
    <s v="Diya Joshi"/>
    <x v="2"/>
    <x v="2"/>
    <x v="9"/>
    <n v="8"/>
    <n v="3651.82"/>
    <n v="29214.560000000001"/>
    <n v="7771.1"/>
    <x v="1"/>
  </r>
  <r>
    <s v="ORD-2024-00077"/>
    <x v="171"/>
    <s v="Ishaan Iyer"/>
    <x v="0"/>
    <x v="2"/>
    <x v="9"/>
    <n v="3"/>
    <n v="250.54"/>
    <n v="751.62"/>
    <n v="178.48"/>
    <x v="1"/>
  </r>
  <r>
    <s v="ORD-2024-00152"/>
    <x v="172"/>
    <s v="Diya Singh"/>
    <x v="0"/>
    <x v="0"/>
    <x v="17"/>
    <n v="7"/>
    <n v="8410.02"/>
    <n v="58870.14"/>
    <n v="12843.57"/>
    <x v="1"/>
  </r>
  <r>
    <s v="ORD-2025-00262"/>
    <x v="172"/>
    <s v="Vihaan Khan"/>
    <x v="2"/>
    <x v="1"/>
    <x v="13"/>
    <n v="10"/>
    <n v="38561.19"/>
    <n v="385611.9"/>
    <n v="47123.16"/>
    <x v="1"/>
  </r>
  <r>
    <s v="ORD-2024-00047"/>
    <x v="173"/>
    <s v="Vihaan Patel"/>
    <x v="0"/>
    <x v="0"/>
    <x v="7"/>
    <n v="3"/>
    <n v="39459.839999999997"/>
    <n v="118379.52"/>
    <n v="19571.28"/>
    <x v="1"/>
  </r>
  <r>
    <s v="ORD-2025-00267"/>
    <x v="174"/>
    <s v="Ishaan Singh"/>
    <x v="0"/>
    <x v="0"/>
    <x v="16"/>
    <n v="1"/>
    <n v="40612.379999999997"/>
    <n v="40612.379999999997"/>
    <n v="6298.51"/>
    <x v="1"/>
  </r>
  <r>
    <s v="ORD-2025-00221"/>
    <x v="175"/>
    <s v="Reyansh Reddy"/>
    <x v="0"/>
    <x v="2"/>
    <x v="4"/>
    <n v="5"/>
    <n v="535.1"/>
    <n v="2675.5"/>
    <n v="929.53"/>
    <x v="1"/>
  </r>
  <r>
    <s v="ORD-2024-00135"/>
    <x v="176"/>
    <s v="Sara Mishra"/>
    <x v="1"/>
    <x v="0"/>
    <x v="7"/>
    <n v="8"/>
    <n v="34563.129999999997"/>
    <n v="276505.03999999998"/>
    <n v="39279.86"/>
    <x v="1"/>
  </r>
  <r>
    <s v="ORD-2024-00075"/>
    <x v="176"/>
    <s v="Rohan Khan"/>
    <x v="3"/>
    <x v="1"/>
    <x v="12"/>
    <n v="10"/>
    <n v="82321.789999999994"/>
    <n v="823217.9"/>
    <n v="66284.259999999995"/>
    <x v="1"/>
  </r>
  <r>
    <s v="ORD-2025-00208"/>
    <x v="177"/>
    <s v="Neha Verma"/>
    <x v="0"/>
    <x v="1"/>
    <x v="8"/>
    <n v="4"/>
    <n v="67339.25"/>
    <n v="269357"/>
    <n v="36898.94"/>
    <x v="1"/>
  </r>
  <r>
    <s v="ORD-2024-00105"/>
    <x v="178"/>
    <s v="Aditya Banerjee"/>
    <x v="1"/>
    <x v="0"/>
    <x v="17"/>
    <n v="9"/>
    <n v="3308.22"/>
    <n v="29773.98"/>
    <n v="6682.84"/>
    <x v="1"/>
  </r>
  <r>
    <s v="ORD-2024-00043"/>
    <x v="179"/>
    <s v="Meera Das"/>
    <x v="1"/>
    <x v="0"/>
    <x v="7"/>
    <n v="7"/>
    <n v="33087.08"/>
    <n v="231609.56"/>
    <n v="50724.94"/>
    <x v="1"/>
  </r>
  <r>
    <s v="ORD-2024-00021"/>
    <x v="180"/>
    <s v="Kabir Nair"/>
    <x v="0"/>
    <x v="1"/>
    <x v="13"/>
    <n v="5"/>
    <n v="69757.429999999993"/>
    <n v="348787.15"/>
    <n v="60211.16"/>
    <x v="1"/>
  </r>
  <r>
    <s v="ORD-2025-00320"/>
    <x v="181"/>
    <s v="Aanya Kulkarni"/>
    <x v="0"/>
    <x v="2"/>
    <x v="4"/>
    <n v="5"/>
    <n v="797.43"/>
    <n v="3987.15"/>
    <n v="1314.75"/>
    <x v="1"/>
  </r>
  <r>
    <s v="ORD-2024-00146"/>
    <x v="182"/>
    <s v="Aditya Gupta"/>
    <x v="3"/>
    <x v="1"/>
    <x v="8"/>
    <n v="5"/>
    <n v="53285.73"/>
    <n v="266428.65000000002"/>
    <n v="46485.56"/>
    <x v="1"/>
  </r>
  <r>
    <s v="ORD-2024-00181"/>
    <x v="182"/>
    <s v="Ira Rao"/>
    <x v="0"/>
    <x v="1"/>
    <x v="1"/>
    <n v="6"/>
    <n v="10507.75"/>
    <n v="63046.5"/>
    <n v="7347.17"/>
    <x v="1"/>
  </r>
  <r>
    <s v="ORD-2024-00039"/>
    <x v="183"/>
    <s v="Diya Iyer"/>
    <x v="0"/>
    <x v="1"/>
    <x v="11"/>
    <n v="7"/>
    <n v="86676.59"/>
    <n v="606736.13"/>
    <n v="78708.75"/>
    <x v="1"/>
  </r>
  <r>
    <s v="ORD-2025-00241"/>
    <x v="184"/>
    <s v="Riya Sharma"/>
    <x v="3"/>
    <x v="1"/>
    <x v="8"/>
    <n v="8"/>
    <n v="46237.45"/>
    <n v="369899.6"/>
    <n v="33442.94"/>
    <x v="1"/>
  </r>
  <r>
    <s v="ORD-2025-00270"/>
    <x v="185"/>
    <s v="Rahul Joshi"/>
    <x v="3"/>
    <x v="0"/>
    <x v="17"/>
    <n v="9"/>
    <n v="6934.99"/>
    <n v="62414.91"/>
    <n v="10342.16"/>
    <x v="1"/>
  </r>
  <r>
    <s v="ORD-2025-00289"/>
    <x v="185"/>
    <s v="Kiran Kulkarni"/>
    <x v="1"/>
    <x v="0"/>
    <x v="16"/>
    <n v="10"/>
    <n v="2512.7600000000002"/>
    <n v="25127.599999999999"/>
    <n v="6250.35"/>
    <x v="1"/>
  </r>
  <r>
    <s v="ORD-2025-00314"/>
    <x v="186"/>
    <s v="Kabir Banerjee"/>
    <x v="3"/>
    <x v="2"/>
    <x v="2"/>
    <n v="5"/>
    <n v="3850.38"/>
    <n v="19251.900000000001"/>
    <n v="6710.27"/>
    <x v="1"/>
  </r>
  <r>
    <s v="ORD-2024-00113"/>
    <x v="187"/>
    <s v="Sara Yadav"/>
    <x v="3"/>
    <x v="1"/>
    <x v="8"/>
    <n v="4"/>
    <n v="86176.88"/>
    <n v="344707.52"/>
    <n v="47343.44"/>
    <x v="1"/>
  </r>
  <r>
    <s v="ORD-2024-00036"/>
    <x v="188"/>
    <s v="Vikram Chatterjee"/>
    <x v="1"/>
    <x v="0"/>
    <x v="17"/>
    <n v="5"/>
    <n v="29934.01"/>
    <n v="149670.04999999999"/>
    <n v="31433.21"/>
    <x v="1"/>
  </r>
  <r>
    <s v="ORD-2025-00238"/>
    <x v="189"/>
    <s v="Meera Joshi"/>
    <x v="3"/>
    <x v="1"/>
    <x v="13"/>
    <n v="2"/>
    <n v="80922.59"/>
    <n v="161845.18"/>
    <n v="19562.78"/>
    <x v="1"/>
  </r>
  <r>
    <s v="ORD-2024-00147"/>
    <x v="189"/>
    <s v="Kiran Menon"/>
    <x v="0"/>
    <x v="1"/>
    <x v="8"/>
    <n v="5"/>
    <n v="34939.769999999997"/>
    <n v="174698.85"/>
    <n v="21846.86"/>
    <x v="1"/>
  </r>
  <r>
    <s v="ORD-2024-00144"/>
    <x v="190"/>
    <s v="Rahul Gupta"/>
    <x v="0"/>
    <x v="1"/>
    <x v="14"/>
    <n v="9"/>
    <n v="7120.8"/>
    <n v="64087.199999999997"/>
    <n v="7785.44"/>
    <x v="1"/>
  </r>
  <r>
    <s v="ORD-2024-00038"/>
    <x v="191"/>
    <s v="Ananya Banerjee"/>
    <x v="0"/>
    <x v="2"/>
    <x v="4"/>
    <n v="1"/>
    <n v="2826.92"/>
    <n v="2826.92"/>
    <n v="540.03"/>
    <x v="1"/>
  </r>
  <r>
    <s v="ORD-2024-00020"/>
    <x v="191"/>
    <s v="Meera Rao"/>
    <x v="3"/>
    <x v="1"/>
    <x v="14"/>
    <n v="3"/>
    <n v="2746.06"/>
    <n v="8238.18"/>
    <n v="1241.3800000000001"/>
    <x v="1"/>
  </r>
  <r>
    <s v="ORD-2024-00056"/>
    <x v="192"/>
    <s v="Sanjay Singh"/>
    <x v="0"/>
    <x v="2"/>
    <x v="4"/>
    <n v="2"/>
    <n v="2670.83"/>
    <n v="5341.66"/>
    <n v="1107.53"/>
    <x v="1"/>
  </r>
  <r>
    <s v="ORD-2024-00049"/>
    <x v="192"/>
    <s v="Sanjay Banerjee"/>
    <x v="1"/>
    <x v="1"/>
    <x v="11"/>
    <n v="10"/>
    <n v="20002.84"/>
    <n v="200028.4"/>
    <n v="21161.84"/>
    <x v="1"/>
  </r>
  <r>
    <s v="ORD-2024-00086"/>
    <x v="193"/>
    <s v="Diya Sharma"/>
    <x v="3"/>
    <x v="0"/>
    <x v="10"/>
    <n v="7"/>
    <n v="52990.48"/>
    <n v="370933.36"/>
    <n v="65165.9"/>
    <x v="1"/>
  </r>
  <r>
    <s v="ORD-2025-00231"/>
    <x v="194"/>
    <s v="Vihaan Gowda"/>
    <x v="2"/>
    <x v="2"/>
    <x v="4"/>
    <n v="8"/>
    <n v="2163.5300000000002"/>
    <n v="17308.240000000002"/>
    <n v="4593.1400000000003"/>
    <x v="1"/>
  </r>
  <r>
    <s v="ORD-2024-00014"/>
    <x v="195"/>
    <s v="Ananya Reddy"/>
    <x v="0"/>
    <x v="0"/>
    <x v="16"/>
    <n v="10"/>
    <n v="53363.65"/>
    <n v="533636.5"/>
    <n v="95237.06"/>
    <x v="1"/>
  </r>
  <r>
    <s v="ORD-2024-00074"/>
    <x v="195"/>
    <s v="Aditya Chatterjee"/>
    <x v="0"/>
    <x v="0"/>
    <x v="0"/>
    <n v="10"/>
    <n v="17152.25"/>
    <n v="171522.5"/>
    <n v="38646.550000000003"/>
    <x v="1"/>
  </r>
  <r>
    <s v="ORD-2024-00149"/>
    <x v="196"/>
    <s v="Ananya Gupta"/>
    <x v="1"/>
    <x v="0"/>
    <x v="10"/>
    <n v="8"/>
    <n v="34455.300000000003"/>
    <n v="275642.40000000002"/>
    <n v="33872.050000000003"/>
    <x v="1"/>
  </r>
  <r>
    <s v="ORD-2024-00048"/>
    <x v="197"/>
    <s v="Rohan Patel"/>
    <x v="2"/>
    <x v="0"/>
    <x v="7"/>
    <n v="7"/>
    <n v="38372.449999999997"/>
    <n v="268607.15000000002"/>
    <n v="64942.47"/>
    <x v="1"/>
  </r>
  <r>
    <s v="ORD-2024-00122"/>
    <x v="198"/>
    <s v="Sanjay Gowda"/>
    <x v="0"/>
    <x v="0"/>
    <x v="17"/>
    <n v="6"/>
    <n v="47636.85"/>
    <n v="285821.09999999998"/>
    <n v="64499.519999999997"/>
    <x v="1"/>
  </r>
  <r>
    <s v="ORD-2025-00287"/>
    <x v="199"/>
    <s v="Kabir Menon"/>
    <x v="3"/>
    <x v="1"/>
    <x v="11"/>
    <n v="6"/>
    <n v="49148.53"/>
    <n v="294891.18"/>
    <n v="32991.019999999997"/>
    <x v="1"/>
  </r>
  <r>
    <s v="ORD-2025-00282"/>
    <x v="200"/>
    <s v="Meera Nair"/>
    <x v="1"/>
    <x v="1"/>
    <x v="14"/>
    <n v="2"/>
    <n v="38826"/>
    <n v="77652"/>
    <n v="11997.74"/>
    <x v="1"/>
  </r>
  <r>
    <s v="ORD-2025-00206"/>
    <x v="201"/>
    <s v="Sanjay Rao"/>
    <x v="3"/>
    <x v="0"/>
    <x v="17"/>
    <n v="1"/>
    <n v="43918.559999999998"/>
    <n v="43918.559999999998"/>
    <n v="8315.98"/>
    <x v="1"/>
  </r>
  <r>
    <s v="ORD-2025-00251"/>
    <x v="201"/>
    <s v="Ananya Das"/>
    <x v="0"/>
    <x v="0"/>
    <x v="0"/>
    <n v="8"/>
    <n v="53630.64"/>
    <n v="429045.12"/>
    <n v="57857.13"/>
    <x v="1"/>
  </r>
  <r>
    <s v="ORD-2025-00228"/>
    <x v="202"/>
    <s v="Ishaan Nair"/>
    <x v="1"/>
    <x v="0"/>
    <x v="16"/>
    <n v="1"/>
    <n v="50418.71"/>
    <n v="50418.71"/>
    <n v="11165.95"/>
    <x v="1"/>
  </r>
  <r>
    <s v="ORD-2024-00059"/>
    <x v="203"/>
    <s v="Reyansh Verma"/>
    <x v="0"/>
    <x v="2"/>
    <x v="5"/>
    <n v="7"/>
    <n v="2616.0500000000002"/>
    <n v="18312.349999999999"/>
    <n v="5540.58"/>
    <x v="1"/>
  </r>
  <r>
    <s v="ORD-2024-00186"/>
    <x v="203"/>
    <s v="Kiran Gupta"/>
    <x v="1"/>
    <x v="0"/>
    <x v="17"/>
    <n v="9"/>
    <n v="40091.81"/>
    <n v="360826.29"/>
    <n v="77000.13"/>
    <x v="1"/>
  </r>
  <r>
    <s v="ORD-2025-00304"/>
    <x v="204"/>
    <s v="Neha Joshi"/>
    <x v="0"/>
    <x v="2"/>
    <x v="3"/>
    <n v="6"/>
    <n v="3129.36"/>
    <n v="18776.16"/>
    <n v="5935.72"/>
    <x v="1"/>
  </r>
  <r>
    <s v="ORD-2025-00269"/>
    <x v="205"/>
    <s v="Sara Gowda"/>
    <x v="1"/>
    <x v="1"/>
    <x v="11"/>
    <n v="2"/>
    <n v="54320.59"/>
    <n v="108641.18"/>
    <n v="15463.25"/>
    <x v="1"/>
  </r>
  <r>
    <s v="ORD-2024-00123"/>
    <x v="206"/>
    <s v="Sara Chatterjee"/>
    <x v="1"/>
    <x v="0"/>
    <x v="10"/>
    <n v="4"/>
    <n v="50033.919999999998"/>
    <n v="200135.67999999999"/>
    <n v="33128.129999999997"/>
    <x v="1"/>
  </r>
  <r>
    <s v="ORD-2024-00064"/>
    <x v="207"/>
    <s v="Ira Banerjee"/>
    <x v="3"/>
    <x v="0"/>
    <x v="10"/>
    <n v="1"/>
    <n v="2508.1999999999998"/>
    <n v="2508.1999999999998"/>
    <n v="315.2"/>
    <x v="1"/>
  </r>
  <r>
    <s v="ORD-2024-00179"/>
    <x v="208"/>
    <s v="Aditya Verma"/>
    <x v="1"/>
    <x v="0"/>
    <x v="10"/>
    <n v="2"/>
    <n v="49601.03"/>
    <n v="99202.06"/>
    <n v="15055.49"/>
    <x v="1"/>
  </r>
  <r>
    <s v="ORD-2024-00120"/>
    <x v="209"/>
    <s v="Aarav Menon"/>
    <x v="0"/>
    <x v="2"/>
    <x v="4"/>
    <n v="8"/>
    <n v="1733.06"/>
    <n v="13864.48"/>
    <n v="2667.11"/>
    <x v="1"/>
  </r>
  <r>
    <s v="ORD-2025-00209"/>
    <x v="210"/>
    <s v="Riya Rao"/>
    <x v="3"/>
    <x v="2"/>
    <x v="3"/>
    <n v="10"/>
    <n v="2001.23"/>
    <n v="20012.3"/>
    <n v="4766.01"/>
    <x v="1"/>
  </r>
  <r>
    <s v="ORD-2024-00095"/>
    <x v="210"/>
    <s v="Ira Yadav"/>
    <x v="3"/>
    <x v="2"/>
    <x v="9"/>
    <n v="4"/>
    <n v="3799.13"/>
    <n v="15196.52"/>
    <n v="2852.41"/>
    <x v="1"/>
  </r>
  <r>
    <s v="ORD-2024-00165"/>
    <x v="211"/>
    <s v="Vihaan Gupta"/>
    <x v="0"/>
    <x v="0"/>
    <x v="10"/>
    <n v="2"/>
    <n v="12300.75"/>
    <n v="24601.5"/>
    <n v="3363.94"/>
    <x v="1"/>
  </r>
  <r>
    <s v="ORD-2024-00109"/>
    <x v="212"/>
    <s v="Diya Patel"/>
    <x v="0"/>
    <x v="1"/>
    <x v="15"/>
    <n v="3"/>
    <n v="66981.929999999993"/>
    <n v="200945.79"/>
    <n v="18147.89"/>
    <x v="1"/>
  </r>
  <r>
    <s v="ORD-2024-00171"/>
    <x v="213"/>
    <s v="Ira Menon"/>
    <x v="3"/>
    <x v="2"/>
    <x v="3"/>
    <n v="3"/>
    <n v="633.57000000000005"/>
    <n v="1900.71"/>
    <n v="572.63"/>
    <x v="1"/>
  </r>
  <r>
    <s v="ORD-2024-00125"/>
    <x v="214"/>
    <s v="Vikram Basu"/>
    <x v="1"/>
    <x v="0"/>
    <x v="10"/>
    <n v="3"/>
    <n v="7182.42"/>
    <n v="21547.26"/>
    <n v="3296.27"/>
    <x v="1"/>
  </r>
  <r>
    <s v="ORD-2024-00131"/>
    <x v="215"/>
    <s v="Vihaan Mishra"/>
    <x v="2"/>
    <x v="2"/>
    <x v="5"/>
    <n v="9"/>
    <n v="347.97"/>
    <n v="3131.73"/>
    <n v="679.14"/>
    <x v="1"/>
  </r>
  <r>
    <s v="ORD-2024-00164"/>
    <x v="216"/>
    <s v="Meera Singh"/>
    <x v="2"/>
    <x v="2"/>
    <x v="2"/>
    <n v="1"/>
    <n v="400.38"/>
    <n v="400.38"/>
    <n v="108.44"/>
    <x v="1"/>
  </r>
  <r>
    <s v="ORD-2024-00156"/>
    <x v="217"/>
    <s v="Rohan Mishra"/>
    <x v="0"/>
    <x v="2"/>
    <x v="5"/>
    <n v="3"/>
    <n v="2507.2399999999998"/>
    <n v="7521.72"/>
    <n v="2245.98"/>
    <x v="1"/>
  </r>
  <r>
    <s v="ORD-2024-00194"/>
    <x v="218"/>
    <s v="Kiran Verma"/>
    <x v="3"/>
    <x v="2"/>
    <x v="3"/>
    <n v="1"/>
    <n v="1676.77"/>
    <n v="1676.77"/>
    <n v="544.32000000000005"/>
    <x v="1"/>
  </r>
  <r>
    <s v="ORD-2025-00319"/>
    <x v="219"/>
    <s v="Sanjay Verma"/>
    <x v="0"/>
    <x v="0"/>
    <x v="17"/>
    <n v="10"/>
    <n v="38723.96"/>
    <n v="387239.6"/>
    <n v="51796.56"/>
    <x v="1"/>
  </r>
  <r>
    <s v="ORD-2024-00139"/>
    <x v="220"/>
    <s v="Ira Gowda"/>
    <x v="1"/>
    <x v="1"/>
    <x v="14"/>
    <n v="6"/>
    <n v="8243.73"/>
    <n v="49462.38"/>
    <n v="8654.93"/>
    <x v="1"/>
  </r>
  <r>
    <s v="ORD-2024-00006"/>
    <x v="221"/>
    <s v="Sara Sharma"/>
    <x v="1"/>
    <x v="0"/>
    <x v="17"/>
    <n v="10"/>
    <n v="29432.880000000001"/>
    <n v="294328.8"/>
    <n v="37105.01"/>
    <x v="1"/>
  </r>
  <r>
    <s v="ORD-2024-00062"/>
    <x v="222"/>
    <s v="Neha Menon"/>
    <x v="2"/>
    <x v="2"/>
    <x v="9"/>
    <n v="2"/>
    <n v="3573.58"/>
    <n v="7147.16"/>
    <n v="1711.84"/>
    <x v="1"/>
  </r>
  <r>
    <s v="ORD-2025-00301"/>
    <x v="223"/>
    <s v="Ananya Iyer"/>
    <x v="1"/>
    <x v="2"/>
    <x v="5"/>
    <n v="8"/>
    <n v="306.7"/>
    <n v="2453.6"/>
    <n v="834.87"/>
    <x v="1"/>
  </r>
  <r>
    <s v="ORD-2024-00011"/>
    <x v="224"/>
    <s v="Sanjay Joshi"/>
    <x v="2"/>
    <x v="0"/>
    <x v="0"/>
    <n v="7"/>
    <n v="13622.09"/>
    <n v="95354.63"/>
    <n v="19004.14"/>
    <x v="1"/>
  </r>
  <r>
    <s v="ORD-2024-00070"/>
    <x v="225"/>
    <s v="Kabir Gupta"/>
    <x v="3"/>
    <x v="2"/>
    <x v="9"/>
    <n v="8"/>
    <n v="2799.32"/>
    <n v="22394.560000000001"/>
    <n v="4299.1000000000004"/>
    <x v="1"/>
  </r>
  <r>
    <s v="ORD-2025-00223"/>
    <x v="226"/>
    <s v="Kabir Nair"/>
    <x v="1"/>
    <x v="0"/>
    <x v="17"/>
    <n v="5"/>
    <n v="13433.88"/>
    <n v="67169.399999999994"/>
    <n v="11372.43"/>
    <x v="1"/>
  </r>
  <r>
    <s v="ORD-2025-00316"/>
    <x v="227"/>
    <s v="Aditya Joshi"/>
    <x v="2"/>
    <x v="0"/>
    <x v="17"/>
    <n v="8"/>
    <n v="36821.629999999997"/>
    <n v="294573.03999999998"/>
    <n v="57013.18"/>
    <x v="1"/>
  </r>
  <r>
    <s v="ORD-2025-00279"/>
    <x v="228"/>
    <s v="Neha Mishra"/>
    <x v="3"/>
    <x v="2"/>
    <x v="9"/>
    <n v="10"/>
    <n v="3951.29"/>
    <n v="39512.9"/>
    <n v="7377.16"/>
    <x v="1"/>
  </r>
  <r>
    <s v="ORD-2024-00028"/>
    <x v="229"/>
    <s v="Ishaan Joshi"/>
    <x v="3"/>
    <x v="2"/>
    <x v="2"/>
    <n v="1"/>
    <n v="3588.27"/>
    <n v="3588.27"/>
    <n v="837.65"/>
    <x v="1"/>
  </r>
  <r>
    <s v="ORD-2025-00225"/>
    <x v="229"/>
    <s v="Sanjay Reddy"/>
    <x v="2"/>
    <x v="0"/>
    <x v="18"/>
    <n v="10"/>
    <n v="23500.35"/>
    <n v="235003.5"/>
    <n v="56302.43"/>
    <x v="1"/>
  </r>
  <r>
    <s v="ORD-2025-00302"/>
    <x v="229"/>
    <s v="Neha Sharma"/>
    <x v="0"/>
    <x v="2"/>
    <x v="9"/>
    <n v="3"/>
    <n v="960.75"/>
    <n v="2882.25"/>
    <n v="770.01"/>
    <x v="1"/>
  </r>
  <r>
    <s v="ORD-2024-00153"/>
    <x v="230"/>
    <s v="Aditya Joshi"/>
    <x v="0"/>
    <x v="0"/>
    <x v="0"/>
    <n v="7"/>
    <n v="44511.4"/>
    <n v="311579.8"/>
    <n v="42913.35"/>
    <x v="1"/>
  </r>
  <r>
    <s v="ORD-2025-00205"/>
    <x v="231"/>
    <s v="Sanjay Singh"/>
    <x v="0"/>
    <x v="1"/>
    <x v="1"/>
    <n v="8"/>
    <n v="57052.160000000003"/>
    <n v="456417.28000000003"/>
    <n v="68175.850000000006"/>
    <x v="1"/>
  </r>
  <r>
    <s v="ORD-2025-00297"/>
    <x v="232"/>
    <s v="Vihaan Sharma"/>
    <x v="1"/>
    <x v="0"/>
    <x v="17"/>
    <n v="9"/>
    <n v="7089.36"/>
    <n v="63804.24"/>
    <n v="13293.88"/>
    <x v="1"/>
  </r>
  <r>
    <s v="ORD-2025-00259"/>
    <x v="233"/>
    <s v="Kabir Basu"/>
    <x v="2"/>
    <x v="0"/>
    <x v="10"/>
    <n v="10"/>
    <n v="12305.46"/>
    <n v="123054.6"/>
    <n v="17006.439999999999"/>
    <x v="1"/>
  </r>
  <r>
    <s v="ORD-2025-00235"/>
    <x v="234"/>
    <s v="Ananya Khan"/>
    <x v="0"/>
    <x v="1"/>
    <x v="15"/>
    <n v="2"/>
    <n v="64694.239999999998"/>
    <n v="129388.48"/>
    <n v="17136.080000000002"/>
    <x v="1"/>
  </r>
  <r>
    <s v="ORD-2024-00193"/>
    <x v="235"/>
    <s v="Aanya Yadav"/>
    <x v="0"/>
    <x v="0"/>
    <x v="0"/>
    <n v="5"/>
    <n v="14899.67"/>
    <n v="74498.350000000006"/>
    <n v="8966.06"/>
    <x v="1"/>
  </r>
  <r>
    <s v="ORD-2025-00200"/>
    <x v="236"/>
    <s v="Sara Chatterjee"/>
    <x v="3"/>
    <x v="2"/>
    <x v="4"/>
    <n v="9"/>
    <n v="3514.94"/>
    <n v="31634.46"/>
    <n v="9367.18"/>
    <x v="1"/>
  </r>
  <r>
    <s v="ORD-2024-00103"/>
    <x v="237"/>
    <s v="Diya Joshi"/>
    <x v="3"/>
    <x v="1"/>
    <x v="8"/>
    <n v="3"/>
    <n v="31645.27"/>
    <n v="94935.81"/>
    <n v="10270.68"/>
    <x v="1"/>
  </r>
  <r>
    <s v="ORD-2025-00219"/>
    <x v="238"/>
    <s v="Ira Mishra"/>
    <x v="2"/>
    <x v="0"/>
    <x v="0"/>
    <n v="9"/>
    <n v="21344.62"/>
    <n v="192101.58"/>
    <n v="33644.089999999997"/>
    <x v="1"/>
  </r>
  <r>
    <s v="ORD-2024-00067"/>
    <x v="239"/>
    <s v="Aditya Nair"/>
    <x v="3"/>
    <x v="1"/>
    <x v="13"/>
    <n v="1"/>
    <n v="86780.37"/>
    <n v="86780.37"/>
    <n v="7596.29"/>
    <x v="1"/>
  </r>
  <r>
    <s v="ORD-2024-00063"/>
    <x v="240"/>
    <s v="Rohan Nair"/>
    <x v="3"/>
    <x v="0"/>
    <x v="10"/>
    <n v="1"/>
    <n v="32237.43"/>
    <n v="32237.43"/>
    <n v="4686.7299999999996"/>
    <x v="1"/>
  </r>
  <r>
    <s v="ORD-2024-00045"/>
    <x v="241"/>
    <s v="Aanya Patel"/>
    <x v="1"/>
    <x v="0"/>
    <x v="16"/>
    <n v="1"/>
    <n v="35283.9"/>
    <n v="35283.9"/>
    <n v="4925.3999999999996"/>
    <x v="1"/>
  </r>
  <r>
    <s v="ORD-2025-00261"/>
    <x v="241"/>
    <s v="Pooja Kulkarni"/>
    <x v="2"/>
    <x v="0"/>
    <x v="10"/>
    <n v="9"/>
    <n v="33507.81"/>
    <n v="301570.28999999998"/>
    <n v="55566.01"/>
    <x v="1"/>
  </r>
  <r>
    <s v="ORD-2024-00025"/>
    <x v="242"/>
    <s v="Neha Gowda"/>
    <x v="1"/>
    <x v="2"/>
    <x v="6"/>
    <n v="3"/>
    <n v="3888.26"/>
    <n v="11664.78"/>
    <n v="3608.31"/>
    <x v="1"/>
  </r>
  <r>
    <s v="ORD-2024-00002"/>
    <x v="243"/>
    <s v="Ishaan Basu"/>
    <x v="1"/>
    <x v="1"/>
    <x v="14"/>
    <n v="7"/>
    <n v="40956.199999999997"/>
    <n v="286693.40000000002"/>
    <n v="24600.69"/>
    <x v="1"/>
  </r>
  <r>
    <s v="ORD-2025-00284"/>
    <x v="243"/>
    <s v="Neha Basu"/>
    <x v="3"/>
    <x v="2"/>
    <x v="6"/>
    <n v="8"/>
    <n v="196.18"/>
    <n v="1569.44"/>
    <n v="343.87"/>
    <x v="1"/>
  </r>
  <r>
    <s v="ORD-2025-00204"/>
    <x v="244"/>
    <s v="Ira Menon"/>
    <x v="3"/>
    <x v="1"/>
    <x v="13"/>
    <n v="7"/>
    <n v="21768.75"/>
    <n v="152381.25"/>
    <n v="13971.81"/>
    <x v="1"/>
  </r>
  <r>
    <s v="ORD-2025-00222"/>
    <x v="245"/>
    <s v="Riya Gowda"/>
    <x v="1"/>
    <x v="1"/>
    <x v="15"/>
    <n v="7"/>
    <n v="17989.400000000001"/>
    <n v="125925.8"/>
    <n v="21669.84"/>
    <x v="1"/>
  </r>
  <r>
    <s v="ORD-2024-00172"/>
    <x v="246"/>
    <s v="Ishaan Das"/>
    <x v="2"/>
    <x v="2"/>
    <x v="4"/>
    <n v="2"/>
    <n v="3385.54"/>
    <n v="6771.08"/>
    <n v="1733.8"/>
    <x v="1"/>
  </r>
  <r>
    <s v="ORD-2025-00217"/>
    <x v="246"/>
    <s v="Neha Patel"/>
    <x v="1"/>
    <x v="2"/>
    <x v="9"/>
    <n v="4"/>
    <n v="2918.08"/>
    <n v="11672.32"/>
    <n v="3924.09"/>
    <x v="1"/>
  </r>
  <r>
    <s v="ORD-2024-00182"/>
    <x v="247"/>
    <s v="Meera Banerjee"/>
    <x v="3"/>
    <x v="2"/>
    <x v="5"/>
    <n v="8"/>
    <n v="684.69"/>
    <n v="5477.52"/>
    <n v="1821"/>
    <x v="1"/>
  </r>
  <r>
    <s v="ORD-2024-00071"/>
    <x v="248"/>
    <s v="Sanjay Khan"/>
    <x v="2"/>
    <x v="1"/>
    <x v="14"/>
    <n v="6"/>
    <n v="55928.14"/>
    <n v="335568.84"/>
    <n v="38880.58"/>
    <x v="1"/>
  </r>
  <r>
    <s v="ORD-2025-00213"/>
    <x v="249"/>
    <s v="Sara Kulkarni"/>
    <x v="1"/>
    <x v="1"/>
    <x v="1"/>
    <n v="4"/>
    <n v="62914.44"/>
    <n v="251657.76"/>
    <n v="38155.82"/>
    <x v="1"/>
  </r>
  <r>
    <s v="ORD-2024-00054"/>
    <x v="250"/>
    <s v="Reyansh Rao"/>
    <x v="1"/>
    <x v="0"/>
    <x v="0"/>
    <n v="8"/>
    <n v="5726.73"/>
    <n v="45813.84"/>
    <n v="10174.99"/>
    <x v="1"/>
  </r>
  <r>
    <s v="ORD-2024-00035"/>
    <x v="251"/>
    <s v="Kabir Singh"/>
    <x v="2"/>
    <x v="2"/>
    <x v="6"/>
    <n v="9"/>
    <n v="3281.16"/>
    <n v="29530.44"/>
    <n v="6845.53"/>
    <x v="1"/>
  </r>
  <r>
    <s v="ORD-2024-00121"/>
    <x v="252"/>
    <s v="Ananya Joshi"/>
    <x v="0"/>
    <x v="0"/>
    <x v="0"/>
    <n v="5"/>
    <n v="9087.34"/>
    <n v="45436.7"/>
    <n v="6830.03"/>
    <x v="1"/>
  </r>
  <r>
    <s v="ORD-2025-00310"/>
    <x v="253"/>
    <s v="Kabir Nair"/>
    <x v="1"/>
    <x v="0"/>
    <x v="18"/>
    <n v="9"/>
    <n v="8167.9"/>
    <n v="73511.100000000006"/>
    <n v="9245.42"/>
    <x v="1"/>
  </r>
  <r>
    <s v="ORD-2024-00072"/>
    <x v="254"/>
    <s v="Aanya Kulkarni"/>
    <x v="3"/>
    <x v="0"/>
    <x v="17"/>
    <n v="2"/>
    <n v="29086.14"/>
    <n v="58172.28"/>
    <n v="9419.9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9CF84E-3F36-4B29-8C9C-FFE9A9F15E12}" name="Pivot_Region"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showAll="0"/>
    <pivotField numFmtId="16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axis="axisRow" showAll="0">
      <items count="5">
        <item x="3"/>
        <item x="2"/>
        <item x="1"/>
        <item x="0"/>
        <item t="default"/>
      </items>
    </pivotField>
    <pivotField showAll="0">
      <items count="4">
        <item x="1"/>
        <item x="0"/>
        <item x="2"/>
        <item t="default"/>
      </items>
    </pivotField>
    <pivotField showAll="0"/>
    <pivotField showAll="0"/>
    <pivotField showAll="0"/>
    <pivotField dataField="1"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Total Sales" fld="8" baseField="3" baseItem="1" numFmtId="44"/>
  </dataFields>
  <formats count="2">
    <format dxfId="26">
      <pivotArea collapsedLevelsAreSubtotals="1" fieldPosition="0">
        <references count="1">
          <reference field="3" count="1">
            <x v="0"/>
          </reference>
        </references>
      </pivotArea>
    </format>
    <format dxfId="27">
      <pivotArea outline="0" fieldPosition="0">
        <references count="1">
          <reference field="4294967294" count="1">
            <x v="0"/>
          </reference>
        </references>
      </pivotArea>
    </format>
  </format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2"/>
          </reference>
        </references>
      </pivotArea>
    </chartFormat>
    <chartFormat chart="4" format="3">
      <pivotArea type="data" outline="0" fieldPosition="0">
        <references count="2">
          <reference field="4294967294" count="1" selected="0">
            <x v="0"/>
          </reference>
          <reference field="3"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9B2784-EA4A-4D65-8E21-EF3E308B46FF}" name="Pivot_Products"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3">
    <pivotField showAll="0"/>
    <pivotField numFmtId="16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showAll="0">
      <items count="5">
        <item x="3"/>
        <item x="2"/>
        <item x="1"/>
        <item x="0"/>
        <item t="default"/>
      </items>
    </pivotField>
    <pivotField showAll="0">
      <items count="4">
        <item x="1"/>
        <item x="0"/>
        <item x="2"/>
        <item t="default"/>
      </items>
    </pivotField>
    <pivotField axis="axisRow" showAll="0" measureFilter="1" sortType="descending">
      <items count="20">
        <item x="1"/>
        <item x="9"/>
        <item x="6"/>
        <item x="18"/>
        <item x="16"/>
        <item x="0"/>
        <item x="17"/>
        <item x="4"/>
        <item x="3"/>
        <item x="11"/>
        <item x="8"/>
        <item x="13"/>
        <item x="5"/>
        <item x="12"/>
        <item x="7"/>
        <item x="10"/>
        <item x="2"/>
        <item x="15"/>
        <item x="1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6">
    <i>
      <x v="15"/>
    </i>
    <i>
      <x v="10"/>
    </i>
    <i>
      <x v="9"/>
    </i>
    <i>
      <x v="6"/>
    </i>
    <i>
      <x/>
    </i>
    <i t="grand">
      <x/>
    </i>
  </rowItems>
  <colItems count="1">
    <i/>
  </colItems>
  <dataFields count="1">
    <dataField name="Sum of Total Sales" fld="8" baseField="5" baseItem="0" numFmtId="44"/>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BFED91-067F-4F90-8642-2C81EA699138}" name="Pivot_Trend"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13">
    <pivotField showAll="0"/>
    <pivotField numFmtId="16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showAll="0">
      <items count="5">
        <item x="3"/>
        <item x="2"/>
        <item x="1"/>
        <item x="0"/>
        <item t="default"/>
      </items>
    </pivotField>
    <pivotField showAll="0">
      <items count="4">
        <item x="1"/>
        <item x="0"/>
        <item x="2"/>
        <item t="default"/>
      </items>
    </pivotField>
    <pivotField showAll="0"/>
    <pivotField showAll="0"/>
    <pivotField showAll="0"/>
    <pivotField dataField="1" showAll="0"/>
    <pivotField showAll="0"/>
    <pivotField showAll="0">
      <items count="3">
        <item x="0"/>
        <item x="1"/>
        <item t="default"/>
      </items>
    </pivotField>
    <pivotField axis="axisRow" showAll="0">
      <items count="15">
        <item x="0"/>
        <item x="1"/>
        <item x="2"/>
        <item x="3"/>
        <item x="4"/>
        <item x="5"/>
        <item x="6"/>
        <item x="7"/>
        <item x="8"/>
        <item x="9"/>
        <item x="10"/>
        <item x="11"/>
        <item x="12"/>
        <item x="13"/>
        <item t="default"/>
      </items>
    </pivotField>
    <pivotField axis="axisRow" showAll="0">
      <items count="5">
        <item x="0"/>
        <item sd="0" x="1"/>
        <item sd="0" x="2"/>
        <item x="3"/>
        <item t="default"/>
      </items>
    </pivotField>
  </pivotFields>
  <rowFields count="2">
    <field x="12"/>
    <field x="11"/>
  </rowFields>
  <rowItems count="3">
    <i>
      <x v="1"/>
    </i>
    <i>
      <x v="2"/>
    </i>
    <i t="grand">
      <x/>
    </i>
  </rowItems>
  <colItems count="1">
    <i/>
  </colItems>
  <dataFields count="1">
    <dataField name="Sum of Total Sales" fld="8" baseField="12" baseItem="1" numFmtId="44"/>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8728ED-C1B2-4D17-A297-C664B2C1C9A4}" sourceName="Region">
  <pivotTables>
    <pivotTable tabId="4" name="Pivot_Region"/>
    <pivotTable tabId="8" name="Pivot_Products"/>
    <pivotTable tabId="9" name="Pivot_Trend"/>
  </pivotTables>
  <data>
    <tabular pivotCacheId="263153926">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85A9D75-5892-44C5-BC92-EEBF4A25E9ED}" sourceName="Product Category">
  <pivotTables>
    <pivotTable tabId="4" name="Pivot_Region"/>
    <pivotTable tabId="8" name="Pivot_Products"/>
    <pivotTable tabId="9" name="Pivot_Trend"/>
  </pivotTables>
  <data>
    <tabular pivotCacheId="26315392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2DFB053-0153-4FCD-B9E9-0A3F5322D5D1}" sourceName="Year">
  <pivotTables>
    <pivotTable tabId="4" name="Pivot_Region"/>
    <pivotTable tabId="8" name="Pivot_Products"/>
    <pivotTable tabId="9" name="Pivot_Trend"/>
  </pivotTables>
  <data>
    <tabular pivotCacheId="26315392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D329058-4547-470F-8855-AB2E0736515B}" cache="Slicer_Region" caption="Region" rowHeight="241300"/>
  <slicer name="Product Category" xr10:uid="{703525D0-924E-4687-998D-04C4002C7F7D}" cache="Slicer_Product_Category" caption="Product Category" rowHeight="241300"/>
  <slicer name="Year" xr10:uid="{35C90A3A-A9A1-4AA9-A10F-E860A5898C99}"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4510A77-A8E4-4467-90F6-72F5700202B3}" cache="Slicer_Region" caption="Select Region" rowHeight="241300"/>
  <slicer name="Product Category 1" xr10:uid="{9BC493EE-AB42-4EE9-9145-4FCDD58BCF3C}" cache="Slicer_Product_Category" caption="Select Product Category" rowHeight="241300"/>
  <slicer name="Year 1" xr10:uid="{7748D111-77EA-4391-8BFA-90457A1CF4E9}" cache="Slicer_Year" caption="Select 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D2EA7F-0C2C-4DDD-AB81-6BA307E985AB}" name="SalesTbl" displayName="SalesTbl" ref="A1:K321" totalsRowShown="0" headerRowDxfId="32" headerRowBorderDxfId="31" tableBorderDxfId="30">
  <autoFilter ref="A1:K321" xr:uid="{E1D2EA7F-0C2C-4DDD-AB81-6BA307E985AB}"/>
  <tableColumns count="11">
    <tableColumn id="1" xr3:uid="{3303BFD9-6027-4AC4-B5EC-80D5894C4E84}" name="Order ID"/>
    <tableColumn id="2" xr3:uid="{4E331486-2CC7-45FE-B600-44A326FC0BCD}" name="Order Date" dataDxfId="29"/>
    <tableColumn id="3" xr3:uid="{6E1D974B-EF13-48DE-AFCF-13AC22517A8C}" name="Customer Name"/>
    <tableColumn id="4" xr3:uid="{2ECE9EE5-550D-4294-BA8D-68696021907A}" name="Region"/>
    <tableColumn id="5" xr3:uid="{75010698-51DA-4266-96F3-4A81E2D37A9F}" name="Product Category"/>
    <tableColumn id="6" xr3:uid="{620F700E-414D-489F-8832-6902078FDE91}" name="Product Name"/>
    <tableColumn id="7" xr3:uid="{CFD4D1B0-AD5B-45E8-A985-E03925592719}" name="Quantity"/>
    <tableColumn id="8" xr3:uid="{A75866EB-47D5-4EAC-91F4-71DB889A0B4C}" name="Unit Price"/>
    <tableColumn id="9" xr3:uid="{8E2C3AB9-4511-4279-B1CB-142945B04422}" name="Total Sales"/>
    <tableColumn id="10" xr3:uid="{6D1E714F-D249-4D3F-9C2B-16AAD6A8A699}" name="Profit"/>
    <tableColumn id="11" xr3:uid="{70ACF5B1-6E22-4632-91B3-9963032882EA}" name="Year" dataDxfId="28">
      <calculatedColumnFormula>YEAR(SalesTbl[[#This Row],[Order 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60AF0-3EB1-486B-9810-5DCF22278C54}">
  <dimension ref="B4:E18"/>
  <sheetViews>
    <sheetView tabSelected="1" workbookViewId="0">
      <selection activeCell="G11" sqref="G11"/>
    </sheetView>
  </sheetViews>
  <sheetFormatPr defaultRowHeight="15"/>
  <cols>
    <col min="2" max="2" width="28.85546875" bestFit="1" customWidth="1"/>
    <col min="3" max="3" width="77.28515625" customWidth="1"/>
  </cols>
  <sheetData>
    <row r="4" spans="2:5" ht="15.75" thickBot="1">
      <c r="B4" s="11"/>
      <c r="C4" s="11"/>
    </row>
    <row r="5" spans="2:5">
      <c r="B5" s="13" t="s">
        <v>588</v>
      </c>
      <c r="C5" s="14" t="s">
        <v>589</v>
      </c>
    </row>
    <row r="6" spans="2:5" ht="23.25" customHeight="1">
      <c r="B6" s="15" t="s">
        <v>590</v>
      </c>
      <c r="C6" s="16" t="s">
        <v>605</v>
      </c>
    </row>
    <row r="7" spans="2:5" ht="18" customHeight="1">
      <c r="B7" s="15" t="s">
        <v>591</v>
      </c>
      <c r="C7" s="21">
        <v>45962</v>
      </c>
      <c r="E7" s="20"/>
    </row>
    <row r="8" spans="2:5" ht="33.75" customHeight="1">
      <c r="B8" s="15" t="s">
        <v>592</v>
      </c>
      <c r="C8" s="17" t="s">
        <v>593</v>
      </c>
    </row>
    <row r="9" spans="2:5" ht="17.25" customHeight="1">
      <c r="B9" s="15" t="s">
        <v>594</v>
      </c>
      <c r="C9" s="16" t="s">
        <v>595</v>
      </c>
    </row>
    <row r="10" spans="2:5">
      <c r="B10" s="15" t="s">
        <v>596</v>
      </c>
      <c r="C10" s="16" t="s">
        <v>612</v>
      </c>
    </row>
    <row r="11" spans="2:5" ht="17.25" customHeight="1">
      <c r="B11" s="15"/>
      <c r="C11" s="16" t="s">
        <v>613</v>
      </c>
    </row>
    <row r="12" spans="2:5" ht="20.25" customHeight="1">
      <c r="B12" s="15"/>
      <c r="C12" s="16" t="s">
        <v>614</v>
      </c>
    </row>
    <row r="13" spans="2:5" s="22" customFormat="1" ht="21.75" customHeight="1">
      <c r="B13" s="15" t="s">
        <v>597</v>
      </c>
      <c r="C13" s="16" t="s">
        <v>598</v>
      </c>
    </row>
    <row r="14" spans="2:5" ht="22.5" customHeight="1">
      <c r="B14" s="15" t="s">
        <v>599</v>
      </c>
      <c r="C14" s="16" t="s">
        <v>600</v>
      </c>
    </row>
    <row r="15" spans="2:5" ht="21" customHeight="1">
      <c r="B15" s="15"/>
      <c r="C15" s="16" t="s">
        <v>601</v>
      </c>
    </row>
    <row r="16" spans="2:5" ht="21" customHeight="1">
      <c r="B16" s="15"/>
      <c r="C16" s="16" t="s">
        <v>602</v>
      </c>
    </row>
    <row r="17" spans="2:3" ht="18" customHeight="1">
      <c r="B17" s="15"/>
      <c r="C17" s="16" t="s">
        <v>602</v>
      </c>
    </row>
    <row r="18" spans="2:3" ht="34.5" customHeight="1" thickBot="1">
      <c r="B18" s="18" t="s">
        <v>603</v>
      </c>
      <c r="C18" s="19" t="s">
        <v>604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D4729-01FF-4EDE-948D-029B5C5CBBF2}">
  <dimension ref="A1:D8"/>
  <sheetViews>
    <sheetView topLeftCell="B1" workbookViewId="0">
      <selection activeCell="P21" sqref="P21"/>
    </sheetView>
  </sheetViews>
  <sheetFormatPr defaultRowHeight="15"/>
  <cols>
    <col min="1" max="1" width="13.140625" bestFit="1" customWidth="1"/>
    <col min="2" max="2" width="17.28515625" bestFit="1" customWidth="1"/>
  </cols>
  <sheetData>
    <row r="1" spans="1:4" ht="18.75">
      <c r="B1" s="12" t="s">
        <v>587</v>
      </c>
      <c r="C1" s="12"/>
      <c r="D1" s="12"/>
    </row>
    <row r="3" spans="1:4">
      <c r="A3" s="9" t="s">
        <v>584</v>
      </c>
      <c r="B3" t="s">
        <v>586</v>
      </c>
    </row>
    <row r="4" spans="1:4">
      <c r="A4" s="10" t="s">
        <v>560</v>
      </c>
      <c r="B4" s="4">
        <v>11341286.369999997</v>
      </c>
    </row>
    <row r="5" spans="1:4">
      <c r="A5" s="10" t="s">
        <v>559</v>
      </c>
      <c r="B5" s="4">
        <v>7962555.1899999995</v>
      </c>
    </row>
    <row r="6" spans="1:4">
      <c r="A6" s="10" t="s">
        <v>558</v>
      </c>
      <c r="B6" s="4">
        <v>14749780.570000006</v>
      </c>
    </row>
    <row r="7" spans="1:4">
      <c r="A7" s="10" t="s">
        <v>557</v>
      </c>
      <c r="B7" s="4">
        <v>11507442.749999996</v>
      </c>
    </row>
    <row r="8" spans="1:4">
      <c r="A8" s="10" t="s">
        <v>585</v>
      </c>
      <c r="B8" s="4">
        <v>45561064.879999995</v>
      </c>
    </row>
  </sheetData>
  <mergeCells count="1">
    <mergeCell ref="B1:D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E7691-3447-43D1-9FD8-F7EEACFE2A57}">
  <dimension ref="A1:C9"/>
  <sheetViews>
    <sheetView workbookViewId="0">
      <selection activeCell="G20" sqref="G20"/>
    </sheetView>
  </sheetViews>
  <sheetFormatPr defaultRowHeight="15"/>
  <cols>
    <col min="1" max="1" width="20.140625" bestFit="1" customWidth="1"/>
    <col min="2" max="2" width="17.28515625" bestFit="1" customWidth="1"/>
  </cols>
  <sheetData>
    <row r="1" spans="1:3" ht="18.75">
      <c r="A1" s="24"/>
      <c r="B1" s="25" t="s">
        <v>609</v>
      </c>
      <c r="C1" s="25"/>
    </row>
    <row r="3" spans="1:3">
      <c r="A3" s="9" t="s">
        <v>584</v>
      </c>
      <c r="B3" t="s">
        <v>586</v>
      </c>
    </row>
    <row r="4" spans="1:3">
      <c r="A4" s="10" t="s">
        <v>574</v>
      </c>
      <c r="B4" s="4">
        <v>5823701.3300000001</v>
      </c>
    </row>
    <row r="5" spans="1:3">
      <c r="A5" s="10" t="s">
        <v>572</v>
      </c>
      <c r="B5" s="4">
        <v>5328489.1199999982</v>
      </c>
    </row>
    <row r="6" spans="1:3">
      <c r="A6" s="10" t="s">
        <v>575</v>
      </c>
      <c r="B6" s="4">
        <v>4580662.2799999993</v>
      </c>
    </row>
    <row r="7" spans="1:3">
      <c r="A7" s="10" t="s">
        <v>581</v>
      </c>
      <c r="B7" s="4">
        <v>4294105.8000000007</v>
      </c>
    </row>
    <row r="8" spans="1:3">
      <c r="A8" s="10" t="s">
        <v>565</v>
      </c>
      <c r="B8" s="4">
        <v>3768768.4799999995</v>
      </c>
    </row>
    <row r="9" spans="1:3">
      <c r="A9" s="10" t="s">
        <v>585</v>
      </c>
      <c r="B9" s="4">
        <v>23795727.009999998</v>
      </c>
    </row>
  </sheetData>
  <mergeCells count="1">
    <mergeCell ref="B1:C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0A4C2-579D-43CF-8FAD-BCC0D7C87A0E}">
  <dimension ref="A1:C6"/>
  <sheetViews>
    <sheetView workbookViewId="0">
      <selection activeCell="A5" sqref="A5"/>
    </sheetView>
  </sheetViews>
  <sheetFormatPr defaultRowHeight="15"/>
  <cols>
    <col min="1" max="1" width="13.140625" bestFit="1" customWidth="1"/>
    <col min="2" max="2" width="17.28515625" bestFit="1" customWidth="1"/>
  </cols>
  <sheetData>
    <row r="1" spans="1:3" ht="18.75">
      <c r="B1" s="23" t="s">
        <v>608</v>
      </c>
      <c r="C1" s="23"/>
    </row>
    <row r="3" spans="1:3">
      <c r="A3" s="9" t="s">
        <v>584</v>
      </c>
      <c r="B3" t="s">
        <v>586</v>
      </c>
    </row>
    <row r="4" spans="1:3">
      <c r="A4" s="10" t="s">
        <v>606</v>
      </c>
      <c r="B4" s="4">
        <v>29917382.139999986</v>
      </c>
    </row>
    <row r="5" spans="1:3">
      <c r="A5" s="10" t="s">
        <v>607</v>
      </c>
      <c r="B5" s="4">
        <v>15643682.739999998</v>
      </c>
    </row>
    <row r="6" spans="1:3">
      <c r="A6" s="10" t="s">
        <v>585</v>
      </c>
      <c r="B6" s="4">
        <v>45561064.87999998</v>
      </c>
    </row>
  </sheetData>
  <mergeCells count="1">
    <mergeCell ref="B1:C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1"/>
  <sheetViews>
    <sheetView topLeftCell="A2" workbookViewId="0">
      <selection activeCell="C13" sqref="C13"/>
    </sheetView>
  </sheetViews>
  <sheetFormatPr defaultRowHeight="15"/>
  <cols>
    <col min="1" max="1" width="15.42578125" bestFit="1" customWidth="1"/>
    <col min="2" max="2" width="15.28515625" bestFit="1" customWidth="1"/>
    <col min="3" max="3" width="20" bestFit="1" customWidth="1"/>
    <col min="4" max="4" width="9.28515625" customWidth="1"/>
    <col min="5" max="5" width="20.85546875" bestFit="1" customWidth="1"/>
    <col min="6" max="6" width="24.42578125" bestFit="1" customWidth="1"/>
    <col min="7" max="7" width="13.28515625" bestFit="1" customWidth="1"/>
    <col min="8" max="8" width="14.28515625" bestFit="1" customWidth="1"/>
    <col min="9" max="9" width="15" bestFit="1" customWidth="1"/>
    <col min="10" max="10" width="10.5703125" bestFit="1" customWidth="1"/>
    <col min="11" max="11" width="9.5703125" bestFit="1" customWidth="1"/>
  </cols>
  <sheetData>
    <row r="1" spans="1:11">
      <c r="A1" s="2" t="s">
        <v>0</v>
      </c>
      <c r="B1" s="2" t="s">
        <v>1</v>
      </c>
      <c r="C1" s="2" t="s">
        <v>2</v>
      </c>
      <c r="D1" s="2" t="s">
        <v>3</v>
      </c>
      <c r="E1" s="2" t="s">
        <v>4</v>
      </c>
      <c r="F1" s="2" t="s">
        <v>5</v>
      </c>
      <c r="G1" s="2" t="s">
        <v>6</v>
      </c>
      <c r="H1" s="2" t="s">
        <v>7</v>
      </c>
      <c r="I1" s="2" t="s">
        <v>8</v>
      </c>
      <c r="J1" s="2" t="s">
        <v>9</v>
      </c>
      <c r="K1" s="2" t="s">
        <v>583</v>
      </c>
    </row>
    <row r="2" spans="1:11">
      <c r="A2" t="s">
        <v>10</v>
      </c>
      <c r="B2" s="1">
        <v>45292</v>
      </c>
      <c r="C2" t="s">
        <v>330</v>
      </c>
      <c r="D2" t="s">
        <v>557</v>
      </c>
      <c r="E2" t="s">
        <v>561</v>
      </c>
      <c r="F2" t="s">
        <v>564</v>
      </c>
      <c r="G2">
        <v>4</v>
      </c>
      <c r="H2">
        <v>52527.95</v>
      </c>
      <c r="I2">
        <v>210111.8</v>
      </c>
      <c r="J2">
        <v>31458.69</v>
      </c>
      <c r="K2">
        <f>YEAR(SalesTbl[[#This Row],[Order Date]])</f>
        <v>2024</v>
      </c>
    </row>
    <row r="3" spans="1:11">
      <c r="A3" t="s">
        <v>11</v>
      </c>
      <c r="B3" s="1">
        <v>45293</v>
      </c>
      <c r="C3" t="s">
        <v>331</v>
      </c>
      <c r="D3" t="s">
        <v>558</v>
      </c>
      <c r="E3" t="s">
        <v>562</v>
      </c>
      <c r="F3" t="s">
        <v>565</v>
      </c>
      <c r="G3">
        <v>5</v>
      </c>
      <c r="H3">
        <v>89668.45</v>
      </c>
      <c r="I3">
        <v>448342.25</v>
      </c>
      <c r="J3">
        <v>76236.929999999993</v>
      </c>
      <c r="K3">
        <f>YEAR(SalesTbl[[#This Row],[Order Date]])</f>
        <v>2024</v>
      </c>
    </row>
    <row r="4" spans="1:11">
      <c r="A4" t="s">
        <v>12</v>
      </c>
      <c r="B4" s="1">
        <v>45295</v>
      </c>
      <c r="C4" t="s">
        <v>332</v>
      </c>
      <c r="D4" t="s">
        <v>559</v>
      </c>
      <c r="E4" t="s">
        <v>563</v>
      </c>
      <c r="F4" t="s">
        <v>566</v>
      </c>
      <c r="G4">
        <v>6</v>
      </c>
      <c r="H4">
        <v>70.94</v>
      </c>
      <c r="I4">
        <v>425.64</v>
      </c>
      <c r="J4">
        <v>95.28</v>
      </c>
      <c r="K4">
        <f>YEAR(SalesTbl[[#This Row],[Order Date]])</f>
        <v>2024</v>
      </c>
    </row>
    <row r="5" spans="1:11">
      <c r="A5" t="s">
        <v>13</v>
      </c>
      <c r="B5" s="1">
        <v>45296</v>
      </c>
      <c r="C5" t="s">
        <v>333</v>
      </c>
      <c r="D5" t="s">
        <v>559</v>
      </c>
      <c r="E5" t="s">
        <v>561</v>
      </c>
      <c r="F5" t="s">
        <v>564</v>
      </c>
      <c r="G5">
        <v>10</v>
      </c>
      <c r="H5">
        <v>13880.22</v>
      </c>
      <c r="I5">
        <v>138802.20000000001</v>
      </c>
      <c r="J5">
        <v>33038.06</v>
      </c>
      <c r="K5">
        <f>YEAR(SalesTbl[[#This Row],[Order Date]])</f>
        <v>2024</v>
      </c>
    </row>
    <row r="6" spans="1:11">
      <c r="A6" t="s">
        <v>14</v>
      </c>
      <c r="B6" s="1">
        <v>45298</v>
      </c>
      <c r="C6" t="s">
        <v>334</v>
      </c>
      <c r="D6" t="s">
        <v>560</v>
      </c>
      <c r="E6" t="s">
        <v>563</v>
      </c>
      <c r="F6" t="s">
        <v>567</v>
      </c>
      <c r="G6">
        <v>1</v>
      </c>
      <c r="H6">
        <v>2551.3000000000002</v>
      </c>
      <c r="I6">
        <v>2551.3000000000002</v>
      </c>
      <c r="J6">
        <v>549.4</v>
      </c>
      <c r="K6">
        <f>YEAR(SalesTbl[[#This Row],[Order Date]])</f>
        <v>2024</v>
      </c>
    </row>
    <row r="7" spans="1:11">
      <c r="A7" t="s">
        <v>15</v>
      </c>
      <c r="B7" s="1">
        <v>45299</v>
      </c>
      <c r="C7" t="s">
        <v>335</v>
      </c>
      <c r="D7" t="s">
        <v>558</v>
      </c>
      <c r="E7" t="s">
        <v>563</v>
      </c>
      <c r="F7" t="s">
        <v>568</v>
      </c>
      <c r="G7">
        <v>7</v>
      </c>
      <c r="H7">
        <v>157.03</v>
      </c>
      <c r="I7">
        <v>1099.21</v>
      </c>
      <c r="J7">
        <v>245.3</v>
      </c>
      <c r="K7">
        <f>YEAR(SalesTbl[[#This Row],[Order Date]])</f>
        <v>2024</v>
      </c>
    </row>
    <row r="8" spans="1:11">
      <c r="A8" t="s">
        <v>16</v>
      </c>
      <c r="B8" s="1">
        <v>45300</v>
      </c>
      <c r="C8" t="s">
        <v>336</v>
      </c>
      <c r="D8" t="s">
        <v>559</v>
      </c>
      <c r="E8" t="s">
        <v>563</v>
      </c>
      <c r="F8" t="s">
        <v>569</v>
      </c>
      <c r="G8">
        <v>3</v>
      </c>
      <c r="H8">
        <v>1151.54</v>
      </c>
      <c r="I8">
        <v>3454.62</v>
      </c>
      <c r="J8">
        <v>1048.17</v>
      </c>
      <c r="K8">
        <f>YEAR(SalesTbl[[#This Row],[Order Date]])</f>
        <v>2024</v>
      </c>
    </row>
    <row r="9" spans="1:11">
      <c r="A9" t="s">
        <v>17</v>
      </c>
      <c r="B9" s="1">
        <v>45300</v>
      </c>
      <c r="C9" t="s">
        <v>337</v>
      </c>
      <c r="D9" t="s">
        <v>557</v>
      </c>
      <c r="E9" t="s">
        <v>561</v>
      </c>
      <c r="F9" t="s">
        <v>564</v>
      </c>
      <c r="G9">
        <v>1</v>
      </c>
      <c r="H9">
        <v>42169.27</v>
      </c>
      <c r="I9">
        <v>42169.27</v>
      </c>
      <c r="J9">
        <v>5614.67</v>
      </c>
      <c r="K9">
        <f>YEAR(SalesTbl[[#This Row],[Order Date]])</f>
        <v>2024</v>
      </c>
    </row>
    <row r="10" spans="1:11">
      <c r="A10" t="s">
        <v>18</v>
      </c>
      <c r="B10" s="1">
        <v>45302</v>
      </c>
      <c r="C10" t="s">
        <v>338</v>
      </c>
      <c r="D10" t="s">
        <v>557</v>
      </c>
      <c r="E10" t="s">
        <v>563</v>
      </c>
      <c r="F10" t="s">
        <v>570</v>
      </c>
      <c r="G10">
        <v>1</v>
      </c>
      <c r="H10">
        <v>1454.91</v>
      </c>
      <c r="I10">
        <v>1454.91</v>
      </c>
      <c r="J10">
        <v>440.34</v>
      </c>
      <c r="K10">
        <f>YEAR(SalesTbl[[#This Row],[Order Date]])</f>
        <v>2024</v>
      </c>
    </row>
    <row r="11" spans="1:11">
      <c r="A11" t="s">
        <v>19</v>
      </c>
      <c r="B11" s="1">
        <v>45306</v>
      </c>
      <c r="C11" t="s">
        <v>339</v>
      </c>
      <c r="D11" t="s">
        <v>558</v>
      </c>
      <c r="E11" t="s">
        <v>561</v>
      </c>
      <c r="F11" t="s">
        <v>571</v>
      </c>
      <c r="G11">
        <v>7</v>
      </c>
      <c r="H11">
        <v>6841.96</v>
      </c>
      <c r="I11">
        <v>47893.72</v>
      </c>
      <c r="J11">
        <v>8096.29</v>
      </c>
      <c r="K11">
        <f>YEAR(SalesTbl[[#This Row],[Order Date]])</f>
        <v>2024</v>
      </c>
    </row>
    <row r="12" spans="1:11">
      <c r="A12" t="s">
        <v>20</v>
      </c>
      <c r="B12" s="1">
        <v>45306</v>
      </c>
      <c r="C12" t="s">
        <v>340</v>
      </c>
      <c r="D12" t="s">
        <v>560</v>
      </c>
      <c r="E12" t="s">
        <v>562</v>
      </c>
      <c r="F12" t="s">
        <v>572</v>
      </c>
      <c r="G12">
        <v>5</v>
      </c>
      <c r="H12">
        <v>72060.639999999999</v>
      </c>
      <c r="I12">
        <v>360303.2</v>
      </c>
      <c r="J12">
        <v>46347.87</v>
      </c>
      <c r="K12">
        <f>YEAR(SalesTbl[[#This Row],[Order Date]])</f>
        <v>2024</v>
      </c>
    </row>
    <row r="13" spans="1:11">
      <c r="A13" t="s">
        <v>21</v>
      </c>
      <c r="B13" s="1">
        <v>45307</v>
      </c>
      <c r="C13" t="s">
        <v>341</v>
      </c>
      <c r="D13" t="s">
        <v>557</v>
      </c>
      <c r="E13" t="s">
        <v>563</v>
      </c>
      <c r="F13" t="s">
        <v>573</v>
      </c>
      <c r="G13">
        <v>7</v>
      </c>
      <c r="H13">
        <v>3704.73</v>
      </c>
      <c r="I13">
        <v>25933.11</v>
      </c>
      <c r="J13">
        <v>7118.3</v>
      </c>
      <c r="K13">
        <f>YEAR(SalesTbl[[#This Row],[Order Date]])</f>
        <v>2024</v>
      </c>
    </row>
    <row r="14" spans="1:11">
      <c r="A14" t="s">
        <v>22</v>
      </c>
      <c r="B14" s="1">
        <v>45311</v>
      </c>
      <c r="C14" t="s">
        <v>342</v>
      </c>
      <c r="D14" t="s">
        <v>557</v>
      </c>
      <c r="E14" t="s">
        <v>563</v>
      </c>
      <c r="F14" t="s">
        <v>566</v>
      </c>
      <c r="G14">
        <v>10</v>
      </c>
      <c r="H14">
        <v>3979.89</v>
      </c>
      <c r="I14">
        <v>39798.9</v>
      </c>
      <c r="J14">
        <v>10649.87</v>
      </c>
      <c r="K14">
        <f>YEAR(SalesTbl[[#This Row],[Order Date]])</f>
        <v>2024</v>
      </c>
    </row>
    <row r="15" spans="1:11">
      <c r="A15" t="s">
        <v>23</v>
      </c>
      <c r="B15" s="1">
        <v>45312</v>
      </c>
      <c r="C15" t="s">
        <v>343</v>
      </c>
      <c r="D15" t="s">
        <v>559</v>
      </c>
      <c r="E15" t="s">
        <v>561</v>
      </c>
      <c r="F15" t="s">
        <v>564</v>
      </c>
      <c r="G15">
        <v>2</v>
      </c>
      <c r="H15">
        <v>25436.86</v>
      </c>
      <c r="I15">
        <v>50873.72</v>
      </c>
      <c r="J15">
        <v>12380.38</v>
      </c>
      <c r="K15">
        <f>YEAR(SalesTbl[[#This Row],[Order Date]])</f>
        <v>2024</v>
      </c>
    </row>
    <row r="16" spans="1:11">
      <c r="A16" t="s">
        <v>24</v>
      </c>
      <c r="B16" s="1">
        <v>45313</v>
      </c>
      <c r="C16" t="s">
        <v>344</v>
      </c>
      <c r="D16" t="s">
        <v>558</v>
      </c>
      <c r="E16" t="s">
        <v>561</v>
      </c>
      <c r="F16" t="s">
        <v>564</v>
      </c>
      <c r="G16">
        <v>6</v>
      </c>
      <c r="H16">
        <v>14326.64</v>
      </c>
      <c r="I16">
        <v>85959.84</v>
      </c>
      <c r="J16">
        <v>21254.09</v>
      </c>
      <c r="K16">
        <f>YEAR(SalesTbl[[#This Row],[Order Date]])</f>
        <v>2024</v>
      </c>
    </row>
    <row r="17" spans="1:11">
      <c r="A17" t="s">
        <v>25</v>
      </c>
      <c r="B17" s="1">
        <v>45314</v>
      </c>
      <c r="C17" t="s">
        <v>345</v>
      </c>
      <c r="D17" t="s">
        <v>558</v>
      </c>
      <c r="E17" t="s">
        <v>561</v>
      </c>
      <c r="F17" t="s">
        <v>574</v>
      </c>
      <c r="G17">
        <v>1</v>
      </c>
      <c r="H17">
        <v>24804.46</v>
      </c>
      <c r="I17">
        <v>24804.46</v>
      </c>
      <c r="J17">
        <v>3725.32</v>
      </c>
      <c r="K17">
        <f>YEAR(SalesTbl[[#This Row],[Order Date]])</f>
        <v>2024</v>
      </c>
    </row>
    <row r="18" spans="1:11">
      <c r="A18" t="s">
        <v>26</v>
      </c>
      <c r="B18" s="1">
        <v>45316</v>
      </c>
      <c r="C18" t="s">
        <v>346</v>
      </c>
      <c r="D18" t="s">
        <v>559</v>
      </c>
      <c r="E18" t="s">
        <v>563</v>
      </c>
      <c r="F18" t="s">
        <v>566</v>
      </c>
      <c r="G18">
        <v>5</v>
      </c>
      <c r="H18">
        <v>2237.13</v>
      </c>
      <c r="I18">
        <v>11185.65</v>
      </c>
      <c r="J18">
        <v>3444.1</v>
      </c>
      <c r="K18">
        <f>YEAR(SalesTbl[[#This Row],[Order Date]])</f>
        <v>2024</v>
      </c>
    </row>
    <row r="19" spans="1:11">
      <c r="A19" t="s">
        <v>27</v>
      </c>
      <c r="B19" s="1">
        <v>45316</v>
      </c>
      <c r="C19" t="s">
        <v>347</v>
      </c>
      <c r="D19" t="s">
        <v>560</v>
      </c>
      <c r="E19" t="s">
        <v>562</v>
      </c>
      <c r="F19" t="s">
        <v>575</v>
      </c>
      <c r="G19">
        <v>3</v>
      </c>
      <c r="H19">
        <v>61600.56</v>
      </c>
      <c r="I19">
        <v>184801.68</v>
      </c>
      <c r="J19">
        <v>26774.49</v>
      </c>
      <c r="K19">
        <f>YEAR(SalesTbl[[#This Row],[Order Date]])</f>
        <v>2024</v>
      </c>
    </row>
    <row r="20" spans="1:11">
      <c r="A20" t="s">
        <v>28</v>
      </c>
      <c r="B20" s="1">
        <v>45318</v>
      </c>
      <c r="C20" t="s">
        <v>348</v>
      </c>
      <c r="D20" t="s">
        <v>560</v>
      </c>
      <c r="E20" t="s">
        <v>562</v>
      </c>
      <c r="F20" t="s">
        <v>576</v>
      </c>
      <c r="G20">
        <v>6</v>
      </c>
      <c r="H20">
        <v>81151.649999999994</v>
      </c>
      <c r="I20">
        <v>486909.9</v>
      </c>
      <c r="J20">
        <v>74603.58</v>
      </c>
      <c r="K20">
        <f>YEAR(SalesTbl[[#This Row],[Order Date]])</f>
        <v>2024</v>
      </c>
    </row>
    <row r="21" spans="1:11">
      <c r="A21" t="s">
        <v>29</v>
      </c>
      <c r="B21" s="1">
        <v>45319</v>
      </c>
      <c r="C21" t="s">
        <v>349</v>
      </c>
      <c r="D21" t="s">
        <v>558</v>
      </c>
      <c r="E21" t="s">
        <v>563</v>
      </c>
      <c r="F21" t="s">
        <v>567</v>
      </c>
      <c r="G21">
        <v>8</v>
      </c>
      <c r="H21">
        <v>1507.21</v>
      </c>
      <c r="I21">
        <v>12057.68</v>
      </c>
      <c r="J21">
        <v>3647.3</v>
      </c>
      <c r="K21">
        <f>YEAR(SalesTbl[[#This Row],[Order Date]])</f>
        <v>2024</v>
      </c>
    </row>
    <row r="22" spans="1:11">
      <c r="A22" t="s">
        <v>30</v>
      </c>
      <c r="B22" s="1">
        <v>45319</v>
      </c>
      <c r="C22" t="s">
        <v>350</v>
      </c>
      <c r="D22" t="s">
        <v>559</v>
      </c>
      <c r="E22" t="s">
        <v>563</v>
      </c>
      <c r="F22" t="s">
        <v>566</v>
      </c>
      <c r="G22">
        <v>4</v>
      </c>
      <c r="H22">
        <v>912.84</v>
      </c>
      <c r="I22">
        <v>3651.36</v>
      </c>
      <c r="J22">
        <v>1211.28</v>
      </c>
      <c r="K22">
        <f>YEAR(SalesTbl[[#This Row],[Order Date]])</f>
        <v>2024</v>
      </c>
    </row>
    <row r="23" spans="1:11">
      <c r="A23" t="s">
        <v>31</v>
      </c>
      <c r="B23" s="1">
        <v>45320</v>
      </c>
      <c r="C23" t="s">
        <v>351</v>
      </c>
      <c r="D23" t="s">
        <v>560</v>
      </c>
      <c r="E23" t="s">
        <v>561</v>
      </c>
      <c r="F23" t="s">
        <v>574</v>
      </c>
      <c r="G23">
        <v>9</v>
      </c>
      <c r="H23">
        <v>6808.49</v>
      </c>
      <c r="I23">
        <v>61276.41</v>
      </c>
      <c r="J23">
        <v>14726.19</v>
      </c>
      <c r="K23">
        <f>YEAR(SalesTbl[[#This Row],[Order Date]])</f>
        <v>2024</v>
      </c>
    </row>
    <row r="24" spans="1:11">
      <c r="A24" t="s">
        <v>32</v>
      </c>
      <c r="B24" s="1">
        <v>45324</v>
      </c>
      <c r="C24" t="s">
        <v>352</v>
      </c>
      <c r="D24" t="s">
        <v>557</v>
      </c>
      <c r="E24" t="s">
        <v>561</v>
      </c>
      <c r="F24" t="s">
        <v>574</v>
      </c>
      <c r="G24">
        <v>7</v>
      </c>
      <c r="H24">
        <v>4619.4399999999996</v>
      </c>
      <c r="I24">
        <v>32336.080000000002</v>
      </c>
      <c r="J24">
        <v>6691.93</v>
      </c>
      <c r="K24">
        <f>YEAR(SalesTbl[[#This Row],[Order Date]])</f>
        <v>2024</v>
      </c>
    </row>
    <row r="25" spans="1:11">
      <c r="A25" t="s">
        <v>33</v>
      </c>
      <c r="B25" s="1">
        <v>45324</v>
      </c>
      <c r="C25" t="s">
        <v>353</v>
      </c>
      <c r="D25" t="s">
        <v>559</v>
      </c>
      <c r="E25" t="s">
        <v>562</v>
      </c>
      <c r="F25" t="s">
        <v>576</v>
      </c>
      <c r="G25">
        <v>3</v>
      </c>
      <c r="H25">
        <v>49514.81</v>
      </c>
      <c r="I25">
        <v>148544.43</v>
      </c>
      <c r="J25">
        <v>21335.919999999998</v>
      </c>
      <c r="K25">
        <f>YEAR(SalesTbl[[#This Row],[Order Date]])</f>
        <v>2024</v>
      </c>
    </row>
    <row r="26" spans="1:11">
      <c r="A26" t="s">
        <v>34</v>
      </c>
      <c r="B26" s="1">
        <v>45325</v>
      </c>
      <c r="C26" t="s">
        <v>354</v>
      </c>
      <c r="D26" t="s">
        <v>558</v>
      </c>
      <c r="E26" t="s">
        <v>562</v>
      </c>
      <c r="F26" t="s">
        <v>577</v>
      </c>
      <c r="G26">
        <v>9</v>
      </c>
      <c r="H26">
        <v>50544.75</v>
      </c>
      <c r="I26">
        <v>454902.75</v>
      </c>
      <c r="J26">
        <v>59022.03</v>
      </c>
      <c r="K26">
        <f>YEAR(SalesTbl[[#This Row],[Order Date]])</f>
        <v>2024</v>
      </c>
    </row>
    <row r="27" spans="1:11">
      <c r="A27" t="s">
        <v>35</v>
      </c>
      <c r="B27" s="1">
        <v>45326</v>
      </c>
      <c r="C27" t="s">
        <v>355</v>
      </c>
      <c r="D27" t="s">
        <v>560</v>
      </c>
      <c r="E27" t="s">
        <v>563</v>
      </c>
      <c r="F27" t="s">
        <v>570</v>
      </c>
      <c r="G27">
        <v>4</v>
      </c>
      <c r="H27">
        <v>3641.82</v>
      </c>
      <c r="I27">
        <v>14567.28</v>
      </c>
      <c r="J27">
        <v>3073.41</v>
      </c>
      <c r="K27">
        <f>YEAR(SalesTbl[[#This Row],[Order Date]])</f>
        <v>2024</v>
      </c>
    </row>
    <row r="28" spans="1:11">
      <c r="A28" t="s">
        <v>36</v>
      </c>
      <c r="B28" s="1">
        <v>45326</v>
      </c>
      <c r="C28" t="s">
        <v>356</v>
      </c>
      <c r="D28" t="s">
        <v>557</v>
      </c>
      <c r="E28" t="s">
        <v>563</v>
      </c>
      <c r="F28" t="s">
        <v>570</v>
      </c>
      <c r="G28">
        <v>10</v>
      </c>
      <c r="H28">
        <v>1379.39</v>
      </c>
      <c r="I28">
        <v>13793.9</v>
      </c>
      <c r="J28">
        <v>3230.89</v>
      </c>
      <c r="K28">
        <f>YEAR(SalesTbl[[#This Row],[Order Date]])</f>
        <v>2024</v>
      </c>
    </row>
    <row r="29" spans="1:11">
      <c r="A29" t="s">
        <v>37</v>
      </c>
      <c r="B29" s="1">
        <v>45327</v>
      </c>
      <c r="C29" t="s">
        <v>357</v>
      </c>
      <c r="D29" t="s">
        <v>560</v>
      </c>
      <c r="E29" t="s">
        <v>562</v>
      </c>
      <c r="F29" t="s">
        <v>578</v>
      </c>
      <c r="G29">
        <v>1</v>
      </c>
      <c r="H29">
        <v>72149.119999999995</v>
      </c>
      <c r="I29">
        <v>72149.119999999995</v>
      </c>
      <c r="J29">
        <v>6283.76</v>
      </c>
      <c r="K29">
        <f>YEAR(SalesTbl[[#This Row],[Order Date]])</f>
        <v>2024</v>
      </c>
    </row>
    <row r="30" spans="1:11">
      <c r="A30" t="s">
        <v>38</v>
      </c>
      <c r="B30" s="1">
        <v>45328</v>
      </c>
      <c r="C30" t="s">
        <v>358</v>
      </c>
      <c r="D30" t="s">
        <v>559</v>
      </c>
      <c r="E30" t="s">
        <v>562</v>
      </c>
      <c r="F30" t="s">
        <v>579</v>
      </c>
      <c r="G30">
        <v>1</v>
      </c>
      <c r="H30">
        <v>83656.19</v>
      </c>
      <c r="I30">
        <v>83656.19</v>
      </c>
      <c r="J30">
        <v>11316.72</v>
      </c>
      <c r="K30">
        <f>YEAR(SalesTbl[[#This Row],[Order Date]])</f>
        <v>2024</v>
      </c>
    </row>
    <row r="31" spans="1:11">
      <c r="A31" t="s">
        <v>39</v>
      </c>
      <c r="B31" s="1">
        <v>45329</v>
      </c>
      <c r="C31" t="s">
        <v>359</v>
      </c>
      <c r="D31" t="s">
        <v>557</v>
      </c>
      <c r="E31" t="s">
        <v>563</v>
      </c>
      <c r="F31" t="s">
        <v>569</v>
      </c>
      <c r="G31">
        <v>5</v>
      </c>
      <c r="H31">
        <v>1076.03</v>
      </c>
      <c r="I31">
        <v>5380.15</v>
      </c>
      <c r="J31">
        <v>1013.05</v>
      </c>
      <c r="K31">
        <f>YEAR(SalesTbl[[#This Row],[Order Date]])</f>
        <v>2024</v>
      </c>
    </row>
    <row r="32" spans="1:11">
      <c r="A32" t="s">
        <v>40</v>
      </c>
      <c r="B32" s="1">
        <v>45330</v>
      </c>
      <c r="C32" t="s">
        <v>339</v>
      </c>
      <c r="D32" t="s">
        <v>558</v>
      </c>
      <c r="E32" t="s">
        <v>562</v>
      </c>
      <c r="F32" t="s">
        <v>579</v>
      </c>
      <c r="G32">
        <v>7</v>
      </c>
      <c r="H32">
        <v>30004.01</v>
      </c>
      <c r="I32">
        <v>210028.07</v>
      </c>
      <c r="J32">
        <v>18675.79</v>
      </c>
      <c r="K32">
        <f>YEAR(SalesTbl[[#This Row],[Order Date]])</f>
        <v>2024</v>
      </c>
    </row>
    <row r="33" spans="1:11">
      <c r="A33" t="s">
        <v>41</v>
      </c>
      <c r="B33" s="1">
        <v>45330</v>
      </c>
      <c r="C33" t="s">
        <v>360</v>
      </c>
      <c r="D33" t="s">
        <v>559</v>
      </c>
      <c r="E33" t="s">
        <v>562</v>
      </c>
      <c r="F33" t="s">
        <v>575</v>
      </c>
      <c r="G33">
        <v>1</v>
      </c>
      <c r="H33">
        <v>2339.46</v>
      </c>
      <c r="I33">
        <v>2339.46</v>
      </c>
      <c r="J33">
        <v>281.19</v>
      </c>
      <c r="K33">
        <f>YEAR(SalesTbl[[#This Row],[Order Date]])</f>
        <v>2024</v>
      </c>
    </row>
    <row r="34" spans="1:11">
      <c r="A34" t="s">
        <v>42</v>
      </c>
      <c r="B34" s="1">
        <v>45330</v>
      </c>
      <c r="C34" t="s">
        <v>361</v>
      </c>
      <c r="D34" t="s">
        <v>559</v>
      </c>
      <c r="E34" t="s">
        <v>563</v>
      </c>
      <c r="F34" t="s">
        <v>568</v>
      </c>
      <c r="G34">
        <v>2</v>
      </c>
      <c r="H34">
        <v>349.94</v>
      </c>
      <c r="I34">
        <v>699.88</v>
      </c>
      <c r="J34">
        <v>221.09</v>
      </c>
      <c r="K34">
        <f>YEAR(SalesTbl[[#This Row],[Order Date]])</f>
        <v>2024</v>
      </c>
    </row>
    <row r="35" spans="1:11">
      <c r="A35" t="s">
        <v>43</v>
      </c>
      <c r="B35" s="1">
        <v>45332</v>
      </c>
      <c r="C35" t="s">
        <v>362</v>
      </c>
      <c r="D35" t="s">
        <v>560</v>
      </c>
      <c r="E35" t="s">
        <v>563</v>
      </c>
      <c r="F35" t="s">
        <v>569</v>
      </c>
      <c r="G35">
        <v>9</v>
      </c>
      <c r="H35">
        <v>3664.09</v>
      </c>
      <c r="I35">
        <v>32976.81</v>
      </c>
      <c r="J35">
        <v>9430.07</v>
      </c>
      <c r="K35">
        <f>YEAR(SalesTbl[[#This Row],[Order Date]])</f>
        <v>2024</v>
      </c>
    </row>
    <row r="36" spans="1:11">
      <c r="A36" t="s">
        <v>44</v>
      </c>
      <c r="B36" s="1">
        <v>45332</v>
      </c>
      <c r="C36" t="s">
        <v>363</v>
      </c>
      <c r="D36" t="s">
        <v>560</v>
      </c>
      <c r="E36" t="s">
        <v>562</v>
      </c>
      <c r="F36" t="s">
        <v>579</v>
      </c>
      <c r="G36">
        <v>6</v>
      </c>
      <c r="H36">
        <v>24505.56</v>
      </c>
      <c r="I36">
        <v>147033.35999999999</v>
      </c>
      <c r="J36">
        <v>12237.82</v>
      </c>
      <c r="K36">
        <f>YEAR(SalesTbl[[#This Row],[Order Date]])</f>
        <v>2024</v>
      </c>
    </row>
    <row r="37" spans="1:11">
      <c r="A37" t="s">
        <v>45</v>
      </c>
      <c r="B37" s="1">
        <v>45333</v>
      </c>
      <c r="C37" t="s">
        <v>364</v>
      </c>
      <c r="D37" t="s">
        <v>558</v>
      </c>
      <c r="E37" t="s">
        <v>562</v>
      </c>
      <c r="F37" t="s">
        <v>565</v>
      </c>
      <c r="G37">
        <v>10</v>
      </c>
      <c r="H37">
        <v>87720.97</v>
      </c>
      <c r="I37">
        <v>877209.7</v>
      </c>
      <c r="J37">
        <v>108908.26</v>
      </c>
      <c r="K37">
        <f>YEAR(SalesTbl[[#This Row],[Order Date]])</f>
        <v>2024</v>
      </c>
    </row>
    <row r="38" spans="1:11">
      <c r="A38" t="s">
        <v>46</v>
      </c>
      <c r="B38" s="1">
        <v>45334</v>
      </c>
      <c r="C38" t="s">
        <v>365</v>
      </c>
      <c r="D38" t="s">
        <v>560</v>
      </c>
      <c r="E38" t="s">
        <v>561</v>
      </c>
      <c r="F38" t="s">
        <v>580</v>
      </c>
      <c r="G38">
        <v>2</v>
      </c>
      <c r="H38">
        <v>11733.56</v>
      </c>
      <c r="I38">
        <v>23467.119999999999</v>
      </c>
      <c r="J38">
        <v>2934.92</v>
      </c>
      <c r="K38">
        <f>YEAR(SalesTbl[[#This Row],[Order Date]])</f>
        <v>2024</v>
      </c>
    </row>
    <row r="39" spans="1:11">
      <c r="A39" t="s">
        <v>47</v>
      </c>
      <c r="B39" s="1">
        <v>45342</v>
      </c>
      <c r="C39" t="s">
        <v>366</v>
      </c>
      <c r="D39" t="s">
        <v>560</v>
      </c>
      <c r="E39" t="s">
        <v>563</v>
      </c>
      <c r="F39" t="s">
        <v>570</v>
      </c>
      <c r="G39">
        <v>5</v>
      </c>
      <c r="H39">
        <v>211.43</v>
      </c>
      <c r="I39">
        <v>1057.1500000000001</v>
      </c>
      <c r="J39">
        <v>252.3</v>
      </c>
      <c r="K39">
        <f>YEAR(SalesTbl[[#This Row],[Order Date]])</f>
        <v>2024</v>
      </c>
    </row>
    <row r="40" spans="1:11">
      <c r="A40" t="s">
        <v>48</v>
      </c>
      <c r="B40" s="1">
        <v>45342</v>
      </c>
      <c r="C40" t="s">
        <v>367</v>
      </c>
      <c r="D40" t="s">
        <v>558</v>
      </c>
      <c r="E40" t="s">
        <v>561</v>
      </c>
      <c r="F40" t="s">
        <v>574</v>
      </c>
      <c r="G40">
        <v>6</v>
      </c>
      <c r="H40">
        <v>26249.17</v>
      </c>
      <c r="I40">
        <v>157495.01999999999</v>
      </c>
      <c r="J40">
        <v>30996.33</v>
      </c>
      <c r="K40">
        <f>YEAR(SalesTbl[[#This Row],[Order Date]])</f>
        <v>2024</v>
      </c>
    </row>
    <row r="41" spans="1:11">
      <c r="A41" t="s">
        <v>49</v>
      </c>
      <c r="B41" s="1">
        <v>45344</v>
      </c>
      <c r="C41" t="s">
        <v>368</v>
      </c>
      <c r="D41" t="s">
        <v>558</v>
      </c>
      <c r="E41" t="s">
        <v>562</v>
      </c>
      <c r="F41" t="s">
        <v>572</v>
      </c>
      <c r="G41">
        <v>5</v>
      </c>
      <c r="H41">
        <v>25531.55</v>
      </c>
      <c r="I41">
        <v>127657.75</v>
      </c>
      <c r="J41">
        <v>16049.96</v>
      </c>
      <c r="K41">
        <f>YEAR(SalesTbl[[#This Row],[Order Date]])</f>
        <v>2024</v>
      </c>
    </row>
    <row r="42" spans="1:11">
      <c r="A42" t="s">
        <v>50</v>
      </c>
      <c r="B42" s="1">
        <v>45345</v>
      </c>
      <c r="C42" t="s">
        <v>369</v>
      </c>
      <c r="D42" t="s">
        <v>559</v>
      </c>
      <c r="E42" t="s">
        <v>561</v>
      </c>
      <c r="F42" t="s">
        <v>581</v>
      </c>
      <c r="G42">
        <v>5</v>
      </c>
      <c r="H42">
        <v>30095.03</v>
      </c>
      <c r="I42">
        <v>150475.15</v>
      </c>
      <c r="J42">
        <v>28273.02</v>
      </c>
      <c r="K42">
        <f>YEAR(SalesTbl[[#This Row],[Order Date]])</f>
        <v>2024</v>
      </c>
    </row>
    <row r="43" spans="1:11">
      <c r="A43" t="s">
        <v>51</v>
      </c>
      <c r="B43" s="1">
        <v>45345</v>
      </c>
      <c r="C43" t="s">
        <v>370</v>
      </c>
      <c r="D43" t="s">
        <v>559</v>
      </c>
      <c r="E43" t="s">
        <v>561</v>
      </c>
      <c r="F43" t="s">
        <v>564</v>
      </c>
      <c r="G43">
        <v>1</v>
      </c>
      <c r="H43">
        <v>53337.72</v>
      </c>
      <c r="I43">
        <v>53337.72</v>
      </c>
      <c r="J43">
        <v>9994.09</v>
      </c>
      <c r="K43">
        <f>YEAR(SalesTbl[[#This Row],[Order Date]])</f>
        <v>2024</v>
      </c>
    </row>
    <row r="44" spans="1:11">
      <c r="A44" t="s">
        <v>52</v>
      </c>
      <c r="B44" s="1">
        <v>45347</v>
      </c>
      <c r="C44" t="s">
        <v>371</v>
      </c>
      <c r="D44" t="s">
        <v>557</v>
      </c>
      <c r="E44" t="s">
        <v>562</v>
      </c>
      <c r="F44" t="s">
        <v>579</v>
      </c>
      <c r="G44">
        <v>1</v>
      </c>
      <c r="H44">
        <v>78811.710000000006</v>
      </c>
      <c r="I44">
        <v>78811.710000000006</v>
      </c>
      <c r="J44">
        <v>8487.06</v>
      </c>
      <c r="K44">
        <f>YEAR(SalesTbl[[#This Row],[Order Date]])</f>
        <v>2024</v>
      </c>
    </row>
    <row r="45" spans="1:11">
      <c r="A45" t="s">
        <v>53</v>
      </c>
      <c r="B45" s="1">
        <v>45349</v>
      </c>
      <c r="C45" t="s">
        <v>372</v>
      </c>
      <c r="D45" t="s">
        <v>558</v>
      </c>
      <c r="E45" t="s">
        <v>561</v>
      </c>
      <c r="F45" t="s">
        <v>582</v>
      </c>
      <c r="G45">
        <v>2</v>
      </c>
      <c r="H45">
        <v>50438.5</v>
      </c>
      <c r="I45">
        <v>100877</v>
      </c>
      <c r="J45">
        <v>15249.81</v>
      </c>
      <c r="K45">
        <f>YEAR(SalesTbl[[#This Row],[Order Date]])</f>
        <v>2024</v>
      </c>
    </row>
    <row r="46" spans="1:11">
      <c r="A46" t="s">
        <v>54</v>
      </c>
      <c r="B46" s="1">
        <v>45353</v>
      </c>
      <c r="C46" t="s">
        <v>373</v>
      </c>
      <c r="D46" t="s">
        <v>559</v>
      </c>
      <c r="E46" t="s">
        <v>562</v>
      </c>
      <c r="F46" t="s">
        <v>565</v>
      </c>
      <c r="G46">
        <v>3</v>
      </c>
      <c r="H46">
        <v>89675.72</v>
      </c>
      <c r="I46">
        <v>269027.15999999997</v>
      </c>
      <c r="J46">
        <v>43470.3</v>
      </c>
      <c r="K46">
        <f>YEAR(SalesTbl[[#This Row],[Order Date]])</f>
        <v>2024</v>
      </c>
    </row>
    <row r="47" spans="1:11">
      <c r="A47" t="s">
        <v>55</v>
      </c>
      <c r="B47" s="1">
        <v>45356</v>
      </c>
      <c r="C47" t="s">
        <v>374</v>
      </c>
      <c r="D47" t="s">
        <v>557</v>
      </c>
      <c r="E47" t="s">
        <v>561</v>
      </c>
      <c r="F47" t="s">
        <v>564</v>
      </c>
      <c r="G47">
        <v>9</v>
      </c>
      <c r="H47">
        <v>2041.24</v>
      </c>
      <c r="I47">
        <v>18371.16</v>
      </c>
      <c r="J47">
        <v>4048.85</v>
      </c>
      <c r="K47">
        <f>YEAR(SalesTbl[[#This Row],[Order Date]])</f>
        <v>2024</v>
      </c>
    </row>
    <row r="48" spans="1:11">
      <c r="A48" t="s">
        <v>56</v>
      </c>
      <c r="B48" s="1">
        <v>45360</v>
      </c>
      <c r="C48" t="s">
        <v>375</v>
      </c>
      <c r="D48" t="s">
        <v>559</v>
      </c>
      <c r="E48" t="s">
        <v>563</v>
      </c>
      <c r="F48" t="s">
        <v>570</v>
      </c>
      <c r="G48">
        <v>5</v>
      </c>
      <c r="H48">
        <v>3921.13</v>
      </c>
      <c r="I48">
        <v>19605.650000000001</v>
      </c>
      <c r="J48">
        <v>4686.93</v>
      </c>
      <c r="K48">
        <f>YEAR(SalesTbl[[#This Row],[Order Date]])</f>
        <v>2024</v>
      </c>
    </row>
    <row r="49" spans="1:11">
      <c r="A49" t="s">
        <v>57</v>
      </c>
      <c r="B49" s="1">
        <v>45364</v>
      </c>
      <c r="C49" t="s">
        <v>376</v>
      </c>
      <c r="D49" t="s">
        <v>557</v>
      </c>
      <c r="E49" t="s">
        <v>562</v>
      </c>
      <c r="F49" t="s">
        <v>572</v>
      </c>
      <c r="G49">
        <v>9</v>
      </c>
      <c r="H49">
        <v>9667.7199999999993</v>
      </c>
      <c r="I49">
        <v>87009.48</v>
      </c>
      <c r="J49">
        <v>12945.14</v>
      </c>
      <c r="K49">
        <f>YEAR(SalesTbl[[#This Row],[Order Date]])</f>
        <v>2024</v>
      </c>
    </row>
    <row r="50" spans="1:11">
      <c r="A50" t="s">
        <v>58</v>
      </c>
      <c r="B50" s="1">
        <v>45372</v>
      </c>
      <c r="C50" t="s">
        <v>377</v>
      </c>
      <c r="D50" t="s">
        <v>559</v>
      </c>
      <c r="E50" t="s">
        <v>562</v>
      </c>
      <c r="F50" t="s">
        <v>565</v>
      </c>
      <c r="G50">
        <v>6</v>
      </c>
      <c r="H50">
        <v>59802.33</v>
      </c>
      <c r="I50">
        <v>358813.98</v>
      </c>
      <c r="J50">
        <v>51569.88</v>
      </c>
      <c r="K50">
        <f>YEAR(SalesTbl[[#This Row],[Order Date]])</f>
        <v>2024</v>
      </c>
    </row>
    <row r="51" spans="1:11">
      <c r="A51" t="s">
        <v>59</v>
      </c>
      <c r="B51" s="1">
        <v>45373</v>
      </c>
      <c r="C51" t="s">
        <v>378</v>
      </c>
      <c r="D51" t="s">
        <v>559</v>
      </c>
      <c r="E51" t="s">
        <v>562</v>
      </c>
      <c r="F51" t="s">
        <v>579</v>
      </c>
      <c r="G51">
        <v>5</v>
      </c>
      <c r="H51">
        <v>80501.45</v>
      </c>
      <c r="I51">
        <v>402507.25</v>
      </c>
      <c r="J51">
        <v>45958.98</v>
      </c>
      <c r="K51">
        <f>YEAR(SalesTbl[[#This Row],[Order Date]])</f>
        <v>2024</v>
      </c>
    </row>
    <row r="52" spans="1:11">
      <c r="A52" t="s">
        <v>60</v>
      </c>
      <c r="B52" s="1">
        <v>45375</v>
      </c>
      <c r="C52" t="s">
        <v>379</v>
      </c>
      <c r="D52" t="s">
        <v>560</v>
      </c>
      <c r="E52" t="s">
        <v>562</v>
      </c>
      <c r="F52" t="s">
        <v>572</v>
      </c>
      <c r="G52">
        <v>4</v>
      </c>
      <c r="H52">
        <v>42120.53</v>
      </c>
      <c r="I52">
        <v>168482.12</v>
      </c>
      <c r="J52">
        <v>20464.240000000002</v>
      </c>
      <c r="K52">
        <f>YEAR(SalesTbl[[#This Row],[Order Date]])</f>
        <v>2024</v>
      </c>
    </row>
    <row r="53" spans="1:11">
      <c r="A53" t="s">
        <v>61</v>
      </c>
      <c r="B53" s="1">
        <v>45377</v>
      </c>
      <c r="C53" t="s">
        <v>380</v>
      </c>
      <c r="D53" t="s">
        <v>558</v>
      </c>
      <c r="E53" t="s">
        <v>562</v>
      </c>
      <c r="F53" t="s">
        <v>577</v>
      </c>
      <c r="G53">
        <v>10</v>
      </c>
      <c r="H53">
        <v>79421.399999999994</v>
      </c>
      <c r="I53">
        <v>794214</v>
      </c>
      <c r="J53">
        <v>127719.17</v>
      </c>
      <c r="K53">
        <f>YEAR(SalesTbl[[#This Row],[Order Date]])</f>
        <v>2024</v>
      </c>
    </row>
    <row r="54" spans="1:11">
      <c r="A54" t="s">
        <v>62</v>
      </c>
      <c r="B54" s="1">
        <v>45377</v>
      </c>
      <c r="C54" t="s">
        <v>369</v>
      </c>
      <c r="D54" t="s">
        <v>560</v>
      </c>
      <c r="E54" t="s">
        <v>563</v>
      </c>
      <c r="F54" t="s">
        <v>566</v>
      </c>
      <c r="G54">
        <v>5</v>
      </c>
      <c r="H54">
        <v>106.85</v>
      </c>
      <c r="I54">
        <v>534.25</v>
      </c>
      <c r="J54">
        <v>104.72</v>
      </c>
      <c r="K54">
        <f>YEAR(SalesTbl[[#This Row],[Order Date]])</f>
        <v>2024</v>
      </c>
    </row>
    <row r="55" spans="1:11">
      <c r="A55" t="s">
        <v>63</v>
      </c>
      <c r="B55" s="1">
        <v>45377</v>
      </c>
      <c r="C55" t="s">
        <v>381</v>
      </c>
      <c r="D55" t="s">
        <v>560</v>
      </c>
      <c r="E55" t="s">
        <v>561</v>
      </c>
      <c r="F55" t="s">
        <v>564</v>
      </c>
      <c r="G55">
        <v>5</v>
      </c>
      <c r="H55">
        <v>50453.27</v>
      </c>
      <c r="I55">
        <v>252266.35</v>
      </c>
      <c r="J55">
        <v>54245.61</v>
      </c>
      <c r="K55">
        <f>YEAR(SalesTbl[[#This Row],[Order Date]])</f>
        <v>2024</v>
      </c>
    </row>
    <row r="56" spans="1:11">
      <c r="A56" t="s">
        <v>64</v>
      </c>
      <c r="B56" s="1">
        <v>45378</v>
      </c>
      <c r="C56" t="s">
        <v>382</v>
      </c>
      <c r="D56" t="s">
        <v>560</v>
      </c>
      <c r="E56" t="s">
        <v>562</v>
      </c>
      <c r="F56" t="s">
        <v>565</v>
      </c>
      <c r="G56">
        <v>2</v>
      </c>
      <c r="H56">
        <v>88135.43</v>
      </c>
      <c r="I56">
        <v>176270.86</v>
      </c>
      <c r="J56">
        <v>29384.240000000002</v>
      </c>
      <c r="K56">
        <f>YEAR(SalesTbl[[#This Row],[Order Date]])</f>
        <v>2024</v>
      </c>
    </row>
    <row r="57" spans="1:11">
      <c r="A57" t="s">
        <v>65</v>
      </c>
      <c r="B57" s="1">
        <v>45379</v>
      </c>
      <c r="C57" t="s">
        <v>383</v>
      </c>
      <c r="D57" t="s">
        <v>559</v>
      </c>
      <c r="E57" t="s">
        <v>563</v>
      </c>
      <c r="F57" t="s">
        <v>567</v>
      </c>
      <c r="G57">
        <v>8</v>
      </c>
      <c r="H57">
        <v>1368.15</v>
      </c>
      <c r="I57">
        <v>10945.2</v>
      </c>
      <c r="J57">
        <v>3287.64</v>
      </c>
      <c r="K57">
        <f>YEAR(SalesTbl[[#This Row],[Order Date]])</f>
        <v>2024</v>
      </c>
    </row>
    <row r="58" spans="1:11">
      <c r="A58" t="s">
        <v>66</v>
      </c>
      <c r="B58" s="1">
        <v>45381</v>
      </c>
      <c r="C58" t="s">
        <v>384</v>
      </c>
      <c r="D58" t="s">
        <v>558</v>
      </c>
      <c r="E58" t="s">
        <v>563</v>
      </c>
      <c r="F58" t="s">
        <v>569</v>
      </c>
      <c r="G58">
        <v>2</v>
      </c>
      <c r="H58">
        <v>1583.66</v>
      </c>
      <c r="I58">
        <v>3167.32</v>
      </c>
      <c r="J58">
        <v>713.31</v>
      </c>
      <c r="K58">
        <f>YEAR(SalesTbl[[#This Row],[Order Date]])</f>
        <v>2024</v>
      </c>
    </row>
    <row r="59" spans="1:11">
      <c r="A59" t="s">
        <v>67</v>
      </c>
      <c r="B59" s="1">
        <v>45383</v>
      </c>
      <c r="C59" t="s">
        <v>385</v>
      </c>
      <c r="D59" t="s">
        <v>558</v>
      </c>
      <c r="E59" t="s">
        <v>563</v>
      </c>
      <c r="F59" t="s">
        <v>573</v>
      </c>
      <c r="G59">
        <v>7</v>
      </c>
      <c r="H59">
        <v>2336.52</v>
      </c>
      <c r="I59">
        <v>16355.64</v>
      </c>
      <c r="J59">
        <v>4812.5600000000004</v>
      </c>
      <c r="K59">
        <f>YEAR(SalesTbl[[#This Row],[Order Date]])</f>
        <v>2024</v>
      </c>
    </row>
    <row r="60" spans="1:11">
      <c r="A60" t="s">
        <v>68</v>
      </c>
      <c r="B60" s="1">
        <v>45383</v>
      </c>
      <c r="C60" t="s">
        <v>386</v>
      </c>
      <c r="D60" t="s">
        <v>560</v>
      </c>
      <c r="E60" t="s">
        <v>562</v>
      </c>
      <c r="F60" t="s">
        <v>578</v>
      </c>
      <c r="G60">
        <v>9</v>
      </c>
      <c r="H60">
        <v>76776.479999999996</v>
      </c>
      <c r="I60">
        <v>690988.32</v>
      </c>
      <c r="J60">
        <v>78358.69</v>
      </c>
      <c r="K60">
        <f>YEAR(SalesTbl[[#This Row],[Order Date]])</f>
        <v>2024</v>
      </c>
    </row>
    <row r="61" spans="1:11">
      <c r="A61" t="s">
        <v>69</v>
      </c>
      <c r="B61" s="1">
        <v>45385</v>
      </c>
      <c r="C61" t="s">
        <v>387</v>
      </c>
      <c r="D61" t="s">
        <v>559</v>
      </c>
      <c r="E61" t="s">
        <v>561</v>
      </c>
      <c r="F61" t="s">
        <v>581</v>
      </c>
      <c r="G61">
        <v>4</v>
      </c>
      <c r="H61">
        <v>47223.78</v>
      </c>
      <c r="I61">
        <v>188895.12</v>
      </c>
      <c r="J61">
        <v>26972.89</v>
      </c>
      <c r="K61">
        <f>YEAR(SalesTbl[[#This Row],[Order Date]])</f>
        <v>2024</v>
      </c>
    </row>
    <row r="62" spans="1:11">
      <c r="A62" t="s">
        <v>70</v>
      </c>
      <c r="B62" s="1">
        <v>45387</v>
      </c>
      <c r="C62" t="s">
        <v>388</v>
      </c>
      <c r="D62" t="s">
        <v>557</v>
      </c>
      <c r="E62" t="s">
        <v>562</v>
      </c>
      <c r="F62" t="s">
        <v>565</v>
      </c>
      <c r="G62">
        <v>5</v>
      </c>
      <c r="H62">
        <v>63053.17</v>
      </c>
      <c r="I62">
        <v>315265.84999999998</v>
      </c>
      <c r="J62">
        <v>33080.6</v>
      </c>
      <c r="K62">
        <f>YEAR(SalesTbl[[#This Row],[Order Date]])</f>
        <v>2024</v>
      </c>
    </row>
    <row r="63" spans="1:11">
      <c r="A63" t="s">
        <v>71</v>
      </c>
      <c r="B63" s="1">
        <v>45387</v>
      </c>
      <c r="C63" t="s">
        <v>389</v>
      </c>
      <c r="D63" t="s">
        <v>559</v>
      </c>
      <c r="E63" t="s">
        <v>561</v>
      </c>
      <c r="F63" t="s">
        <v>574</v>
      </c>
      <c r="G63">
        <v>5</v>
      </c>
      <c r="H63">
        <v>19535.23</v>
      </c>
      <c r="I63">
        <v>97676.15</v>
      </c>
      <c r="J63">
        <v>14750.82</v>
      </c>
      <c r="K63">
        <f>YEAR(SalesTbl[[#This Row],[Order Date]])</f>
        <v>2024</v>
      </c>
    </row>
    <row r="64" spans="1:11">
      <c r="A64" t="s">
        <v>72</v>
      </c>
      <c r="B64" s="1">
        <v>45390</v>
      </c>
      <c r="C64" t="s">
        <v>390</v>
      </c>
      <c r="D64" t="s">
        <v>557</v>
      </c>
      <c r="E64" t="s">
        <v>562</v>
      </c>
      <c r="F64" t="s">
        <v>572</v>
      </c>
      <c r="G64">
        <v>6</v>
      </c>
      <c r="H64">
        <v>53829.85</v>
      </c>
      <c r="I64">
        <v>322979.09999999998</v>
      </c>
      <c r="J64">
        <v>54493.45</v>
      </c>
      <c r="K64">
        <f>YEAR(SalesTbl[[#This Row],[Order Date]])</f>
        <v>2024</v>
      </c>
    </row>
    <row r="65" spans="1:11">
      <c r="A65" t="s">
        <v>73</v>
      </c>
      <c r="B65" s="1">
        <v>45390</v>
      </c>
      <c r="C65" t="s">
        <v>391</v>
      </c>
      <c r="D65" t="s">
        <v>557</v>
      </c>
      <c r="E65" t="s">
        <v>561</v>
      </c>
      <c r="F65" t="s">
        <v>574</v>
      </c>
      <c r="G65">
        <v>2</v>
      </c>
      <c r="H65">
        <v>23398.83</v>
      </c>
      <c r="I65">
        <v>46797.66</v>
      </c>
      <c r="J65">
        <v>7136.74</v>
      </c>
      <c r="K65">
        <f>YEAR(SalesTbl[[#This Row],[Order Date]])</f>
        <v>2024</v>
      </c>
    </row>
    <row r="66" spans="1:11">
      <c r="A66" t="s">
        <v>74</v>
      </c>
      <c r="B66" s="1">
        <v>45394</v>
      </c>
      <c r="C66" t="s">
        <v>392</v>
      </c>
      <c r="D66" t="s">
        <v>559</v>
      </c>
      <c r="E66" t="s">
        <v>562</v>
      </c>
      <c r="F66" t="s">
        <v>578</v>
      </c>
      <c r="G66">
        <v>8</v>
      </c>
      <c r="H66">
        <v>71994.05</v>
      </c>
      <c r="I66">
        <v>575952.4</v>
      </c>
      <c r="J66">
        <v>80556.070000000007</v>
      </c>
      <c r="K66">
        <f>YEAR(SalesTbl[[#This Row],[Order Date]])</f>
        <v>2024</v>
      </c>
    </row>
    <row r="67" spans="1:11">
      <c r="A67" t="s">
        <v>75</v>
      </c>
      <c r="B67" s="1">
        <v>45395</v>
      </c>
      <c r="C67" t="s">
        <v>393</v>
      </c>
      <c r="D67" t="s">
        <v>559</v>
      </c>
      <c r="E67" t="s">
        <v>561</v>
      </c>
      <c r="F67" t="s">
        <v>582</v>
      </c>
      <c r="G67">
        <v>3</v>
      </c>
      <c r="H67">
        <v>33825.879999999997</v>
      </c>
      <c r="I67">
        <v>101477.64</v>
      </c>
      <c r="J67">
        <v>17088.509999999998</v>
      </c>
      <c r="K67">
        <f>YEAR(SalesTbl[[#This Row],[Order Date]])</f>
        <v>2024</v>
      </c>
    </row>
    <row r="68" spans="1:11">
      <c r="A68" t="s">
        <v>76</v>
      </c>
      <c r="B68" s="1">
        <v>45395</v>
      </c>
      <c r="C68" t="s">
        <v>394</v>
      </c>
      <c r="D68" t="s">
        <v>558</v>
      </c>
      <c r="E68" t="s">
        <v>563</v>
      </c>
      <c r="F68" t="s">
        <v>568</v>
      </c>
      <c r="G68">
        <v>6</v>
      </c>
      <c r="H68">
        <v>2803.21</v>
      </c>
      <c r="I68">
        <v>16819.259999999998</v>
      </c>
      <c r="J68">
        <v>4055.35</v>
      </c>
      <c r="K68">
        <f>YEAR(SalesTbl[[#This Row],[Order Date]])</f>
        <v>2024</v>
      </c>
    </row>
    <row r="69" spans="1:11">
      <c r="A69" t="s">
        <v>77</v>
      </c>
      <c r="B69" s="1">
        <v>45400</v>
      </c>
      <c r="C69" t="s">
        <v>395</v>
      </c>
      <c r="D69" t="s">
        <v>559</v>
      </c>
      <c r="E69" t="s">
        <v>561</v>
      </c>
      <c r="F69" t="s">
        <v>574</v>
      </c>
      <c r="G69">
        <v>5</v>
      </c>
      <c r="H69">
        <v>38387.74</v>
      </c>
      <c r="I69">
        <v>191938.7</v>
      </c>
      <c r="J69">
        <v>23491.53</v>
      </c>
      <c r="K69">
        <f>YEAR(SalesTbl[[#This Row],[Order Date]])</f>
        <v>2024</v>
      </c>
    </row>
    <row r="70" spans="1:11">
      <c r="A70" t="s">
        <v>78</v>
      </c>
      <c r="B70" s="1">
        <v>45404</v>
      </c>
      <c r="C70" t="s">
        <v>396</v>
      </c>
      <c r="D70" t="s">
        <v>560</v>
      </c>
      <c r="E70" t="s">
        <v>562</v>
      </c>
      <c r="F70" t="s">
        <v>579</v>
      </c>
      <c r="G70">
        <v>8</v>
      </c>
      <c r="H70">
        <v>14605.69</v>
      </c>
      <c r="I70">
        <v>116845.52</v>
      </c>
      <c r="J70">
        <v>9778.65</v>
      </c>
      <c r="K70">
        <f>YEAR(SalesTbl[[#This Row],[Order Date]])</f>
        <v>2024</v>
      </c>
    </row>
    <row r="71" spans="1:11">
      <c r="A71" t="s">
        <v>79</v>
      </c>
      <c r="B71" s="1">
        <v>45404</v>
      </c>
      <c r="C71" t="s">
        <v>397</v>
      </c>
      <c r="D71" t="s">
        <v>559</v>
      </c>
      <c r="E71" t="s">
        <v>562</v>
      </c>
      <c r="F71" t="s">
        <v>577</v>
      </c>
      <c r="G71">
        <v>1</v>
      </c>
      <c r="H71">
        <v>48390.84</v>
      </c>
      <c r="I71">
        <v>48390.84</v>
      </c>
      <c r="J71">
        <v>6826.11</v>
      </c>
      <c r="K71">
        <f>YEAR(SalesTbl[[#This Row],[Order Date]])</f>
        <v>2024</v>
      </c>
    </row>
    <row r="72" spans="1:11">
      <c r="A72" t="s">
        <v>80</v>
      </c>
      <c r="B72" s="1">
        <v>45404</v>
      </c>
      <c r="C72" t="s">
        <v>398</v>
      </c>
      <c r="D72" t="s">
        <v>558</v>
      </c>
      <c r="E72" t="s">
        <v>562</v>
      </c>
      <c r="F72" t="s">
        <v>576</v>
      </c>
      <c r="G72">
        <v>6</v>
      </c>
      <c r="H72">
        <v>87930.42</v>
      </c>
      <c r="I72">
        <v>527582.52</v>
      </c>
      <c r="J72">
        <v>43950.3</v>
      </c>
      <c r="K72">
        <f>YEAR(SalesTbl[[#This Row],[Order Date]])</f>
        <v>2024</v>
      </c>
    </row>
    <row r="73" spans="1:11">
      <c r="A73" t="s">
        <v>81</v>
      </c>
      <c r="B73" s="1">
        <v>45404</v>
      </c>
      <c r="C73" t="s">
        <v>399</v>
      </c>
      <c r="D73" t="s">
        <v>559</v>
      </c>
      <c r="E73" t="s">
        <v>561</v>
      </c>
      <c r="F73" t="s">
        <v>582</v>
      </c>
      <c r="G73">
        <v>6</v>
      </c>
      <c r="H73">
        <v>22761.05</v>
      </c>
      <c r="I73">
        <v>136566.29999999999</v>
      </c>
      <c r="J73">
        <v>29975.8</v>
      </c>
      <c r="K73">
        <f>YEAR(SalesTbl[[#This Row],[Order Date]])</f>
        <v>2024</v>
      </c>
    </row>
    <row r="74" spans="1:11">
      <c r="A74" t="s">
        <v>82</v>
      </c>
      <c r="B74" s="1">
        <v>45405</v>
      </c>
      <c r="C74" t="s">
        <v>400</v>
      </c>
      <c r="D74" t="s">
        <v>559</v>
      </c>
      <c r="E74" t="s">
        <v>561</v>
      </c>
      <c r="F74" t="s">
        <v>580</v>
      </c>
      <c r="G74">
        <v>3</v>
      </c>
      <c r="H74">
        <v>27838.880000000001</v>
      </c>
      <c r="I74">
        <v>83516.639999999999</v>
      </c>
      <c r="J74">
        <v>18975.689999999999</v>
      </c>
      <c r="K74">
        <f>YEAR(SalesTbl[[#This Row],[Order Date]])</f>
        <v>2024</v>
      </c>
    </row>
    <row r="75" spans="1:11">
      <c r="A75" t="s">
        <v>83</v>
      </c>
      <c r="B75" s="1">
        <v>45406</v>
      </c>
      <c r="C75" t="s">
        <v>401</v>
      </c>
      <c r="D75" t="s">
        <v>560</v>
      </c>
      <c r="E75" t="s">
        <v>563</v>
      </c>
      <c r="F75" t="s">
        <v>568</v>
      </c>
      <c r="G75">
        <v>9</v>
      </c>
      <c r="H75">
        <v>2074.21</v>
      </c>
      <c r="I75">
        <v>18667.89</v>
      </c>
      <c r="J75">
        <v>5079.12</v>
      </c>
      <c r="K75">
        <f>YEAR(SalesTbl[[#This Row],[Order Date]])</f>
        <v>2024</v>
      </c>
    </row>
    <row r="76" spans="1:11">
      <c r="A76" t="s">
        <v>84</v>
      </c>
      <c r="B76" s="1">
        <v>45408</v>
      </c>
      <c r="C76" t="s">
        <v>402</v>
      </c>
      <c r="D76" t="s">
        <v>558</v>
      </c>
      <c r="E76" t="s">
        <v>561</v>
      </c>
      <c r="F76" t="s">
        <v>582</v>
      </c>
      <c r="G76">
        <v>5</v>
      </c>
      <c r="H76">
        <v>53021.37</v>
      </c>
      <c r="I76">
        <v>265106.84999999998</v>
      </c>
      <c r="J76">
        <v>33308.58</v>
      </c>
      <c r="K76">
        <f>YEAR(SalesTbl[[#This Row],[Order Date]])</f>
        <v>2024</v>
      </c>
    </row>
    <row r="77" spans="1:11">
      <c r="A77" t="s">
        <v>85</v>
      </c>
      <c r="B77" s="1">
        <v>45409</v>
      </c>
      <c r="C77" t="s">
        <v>403</v>
      </c>
      <c r="D77" t="s">
        <v>560</v>
      </c>
      <c r="E77" t="s">
        <v>561</v>
      </c>
      <c r="F77" t="s">
        <v>571</v>
      </c>
      <c r="G77">
        <v>8</v>
      </c>
      <c r="H77">
        <v>39645.26</v>
      </c>
      <c r="I77">
        <v>317162.08</v>
      </c>
      <c r="J77">
        <v>76594.59</v>
      </c>
      <c r="K77">
        <f>YEAR(SalesTbl[[#This Row],[Order Date]])</f>
        <v>2024</v>
      </c>
    </row>
    <row r="78" spans="1:11">
      <c r="A78" t="s">
        <v>86</v>
      </c>
      <c r="B78" s="1">
        <v>45409</v>
      </c>
      <c r="C78" t="s">
        <v>404</v>
      </c>
      <c r="D78" t="s">
        <v>557</v>
      </c>
      <c r="E78" t="s">
        <v>561</v>
      </c>
      <c r="F78" t="s">
        <v>580</v>
      </c>
      <c r="G78">
        <v>4</v>
      </c>
      <c r="H78">
        <v>39449.24</v>
      </c>
      <c r="I78">
        <v>157796.96</v>
      </c>
      <c r="J78">
        <v>29348.55</v>
      </c>
      <c r="K78">
        <f>YEAR(SalesTbl[[#This Row],[Order Date]])</f>
        <v>2024</v>
      </c>
    </row>
    <row r="79" spans="1:11">
      <c r="A79" t="s">
        <v>87</v>
      </c>
      <c r="B79" s="1">
        <v>45411</v>
      </c>
      <c r="C79" t="s">
        <v>405</v>
      </c>
      <c r="D79" t="s">
        <v>559</v>
      </c>
      <c r="E79" t="s">
        <v>561</v>
      </c>
      <c r="F79" t="s">
        <v>574</v>
      </c>
      <c r="G79">
        <v>10</v>
      </c>
      <c r="H79">
        <v>15770.78</v>
      </c>
      <c r="I79">
        <v>157707.79999999999</v>
      </c>
      <c r="J79">
        <v>20533.45</v>
      </c>
      <c r="K79">
        <f>YEAR(SalesTbl[[#This Row],[Order Date]])</f>
        <v>2024</v>
      </c>
    </row>
    <row r="80" spans="1:11">
      <c r="A80" t="s">
        <v>88</v>
      </c>
      <c r="B80" s="1">
        <v>45411</v>
      </c>
      <c r="C80" t="s">
        <v>406</v>
      </c>
      <c r="D80" t="s">
        <v>559</v>
      </c>
      <c r="E80" t="s">
        <v>561</v>
      </c>
      <c r="F80" t="s">
        <v>582</v>
      </c>
      <c r="G80">
        <v>9</v>
      </c>
      <c r="H80">
        <v>41435.49</v>
      </c>
      <c r="I80">
        <v>372919.41</v>
      </c>
      <c r="J80">
        <v>73495.77</v>
      </c>
      <c r="K80">
        <f>YEAR(SalesTbl[[#This Row],[Order Date]])</f>
        <v>2024</v>
      </c>
    </row>
    <row r="81" spans="1:11">
      <c r="A81" t="s">
        <v>89</v>
      </c>
      <c r="B81" s="1">
        <v>45411</v>
      </c>
      <c r="C81" t="s">
        <v>407</v>
      </c>
      <c r="D81" t="s">
        <v>558</v>
      </c>
      <c r="E81" t="s">
        <v>561</v>
      </c>
      <c r="F81" t="s">
        <v>564</v>
      </c>
      <c r="G81">
        <v>4</v>
      </c>
      <c r="H81">
        <v>44608.54</v>
      </c>
      <c r="I81">
        <v>178434.16</v>
      </c>
      <c r="J81">
        <v>43319.040000000001</v>
      </c>
      <c r="K81">
        <f>YEAR(SalesTbl[[#This Row],[Order Date]])</f>
        <v>2024</v>
      </c>
    </row>
    <row r="82" spans="1:11">
      <c r="A82" t="s">
        <v>90</v>
      </c>
      <c r="B82" s="1">
        <v>45414</v>
      </c>
      <c r="C82" t="s">
        <v>408</v>
      </c>
      <c r="D82" t="s">
        <v>558</v>
      </c>
      <c r="E82" t="s">
        <v>563</v>
      </c>
      <c r="F82" t="s">
        <v>569</v>
      </c>
      <c r="G82">
        <v>6</v>
      </c>
      <c r="H82">
        <v>1006.53</v>
      </c>
      <c r="I82">
        <v>6039.18</v>
      </c>
      <c r="J82">
        <v>1464.64</v>
      </c>
      <c r="K82">
        <f>YEAR(SalesTbl[[#This Row],[Order Date]])</f>
        <v>2024</v>
      </c>
    </row>
    <row r="83" spans="1:11">
      <c r="A83" t="s">
        <v>91</v>
      </c>
      <c r="B83" s="1">
        <v>45417</v>
      </c>
      <c r="C83" t="s">
        <v>409</v>
      </c>
      <c r="D83" t="s">
        <v>559</v>
      </c>
      <c r="E83" t="s">
        <v>561</v>
      </c>
      <c r="F83" t="s">
        <v>580</v>
      </c>
      <c r="G83">
        <v>1</v>
      </c>
      <c r="H83">
        <v>7643.2</v>
      </c>
      <c r="I83">
        <v>7643.2</v>
      </c>
      <c r="J83">
        <v>1257.92</v>
      </c>
      <c r="K83">
        <f>YEAR(SalesTbl[[#This Row],[Order Date]])</f>
        <v>2024</v>
      </c>
    </row>
    <row r="84" spans="1:11">
      <c r="A84" t="s">
        <v>92</v>
      </c>
      <c r="B84" s="1">
        <v>45417</v>
      </c>
      <c r="C84" t="s">
        <v>410</v>
      </c>
      <c r="D84" t="s">
        <v>558</v>
      </c>
      <c r="E84" t="s">
        <v>562</v>
      </c>
      <c r="F84" t="s">
        <v>575</v>
      </c>
      <c r="G84">
        <v>3</v>
      </c>
      <c r="H84">
        <v>57555.98</v>
      </c>
      <c r="I84">
        <v>172667.94</v>
      </c>
      <c r="J84">
        <v>23090.25</v>
      </c>
      <c r="K84">
        <f>YEAR(SalesTbl[[#This Row],[Order Date]])</f>
        <v>2024</v>
      </c>
    </row>
    <row r="85" spans="1:11">
      <c r="A85" t="s">
        <v>93</v>
      </c>
      <c r="B85" s="1">
        <v>45421</v>
      </c>
      <c r="C85" t="s">
        <v>411</v>
      </c>
      <c r="D85" t="s">
        <v>557</v>
      </c>
      <c r="E85" t="s">
        <v>563</v>
      </c>
      <c r="F85" t="s">
        <v>573</v>
      </c>
      <c r="G85">
        <v>1</v>
      </c>
      <c r="H85">
        <v>706.82</v>
      </c>
      <c r="I85">
        <v>706.82</v>
      </c>
      <c r="J85">
        <v>137.18</v>
      </c>
      <c r="K85">
        <f>YEAR(SalesTbl[[#This Row],[Order Date]])</f>
        <v>2024</v>
      </c>
    </row>
    <row r="86" spans="1:11">
      <c r="A86" t="s">
        <v>94</v>
      </c>
      <c r="B86" s="1">
        <v>45422</v>
      </c>
      <c r="C86" t="s">
        <v>412</v>
      </c>
      <c r="D86" t="s">
        <v>558</v>
      </c>
      <c r="E86" t="s">
        <v>562</v>
      </c>
      <c r="F86" t="s">
        <v>565</v>
      </c>
      <c r="G86">
        <v>6</v>
      </c>
      <c r="H86">
        <v>77284.7</v>
      </c>
      <c r="I86">
        <v>463708.2</v>
      </c>
      <c r="J86">
        <v>73260.12</v>
      </c>
      <c r="K86">
        <f>YEAR(SalesTbl[[#This Row],[Order Date]])</f>
        <v>2024</v>
      </c>
    </row>
    <row r="87" spans="1:11">
      <c r="A87" t="s">
        <v>95</v>
      </c>
      <c r="B87" s="1">
        <v>45424</v>
      </c>
      <c r="C87" t="s">
        <v>413</v>
      </c>
      <c r="D87" t="s">
        <v>559</v>
      </c>
      <c r="E87" t="s">
        <v>561</v>
      </c>
      <c r="F87" t="s">
        <v>574</v>
      </c>
      <c r="G87">
        <v>8</v>
      </c>
      <c r="H87">
        <v>50830.47</v>
      </c>
      <c r="I87">
        <v>406643.76</v>
      </c>
      <c r="J87">
        <v>83230.92</v>
      </c>
      <c r="K87">
        <f>YEAR(SalesTbl[[#This Row],[Order Date]])</f>
        <v>2024</v>
      </c>
    </row>
    <row r="88" spans="1:11">
      <c r="A88" t="s">
        <v>96</v>
      </c>
      <c r="B88" s="1">
        <v>45425</v>
      </c>
      <c r="C88" t="s">
        <v>414</v>
      </c>
      <c r="D88" t="s">
        <v>557</v>
      </c>
      <c r="E88" t="s">
        <v>561</v>
      </c>
      <c r="F88" t="s">
        <v>571</v>
      </c>
      <c r="G88">
        <v>10</v>
      </c>
      <c r="H88">
        <v>22765.81</v>
      </c>
      <c r="I88">
        <v>227658.1</v>
      </c>
      <c r="J88">
        <v>55354.35</v>
      </c>
      <c r="K88">
        <f>YEAR(SalesTbl[[#This Row],[Order Date]])</f>
        <v>2024</v>
      </c>
    </row>
    <row r="89" spans="1:11">
      <c r="A89" t="s">
        <v>97</v>
      </c>
      <c r="B89" s="1">
        <v>45428</v>
      </c>
      <c r="C89" t="s">
        <v>415</v>
      </c>
      <c r="D89" t="s">
        <v>557</v>
      </c>
      <c r="E89" t="s">
        <v>563</v>
      </c>
      <c r="F89" t="s">
        <v>567</v>
      </c>
      <c r="G89">
        <v>3</v>
      </c>
      <c r="H89">
        <v>859.76</v>
      </c>
      <c r="I89">
        <v>2579.2800000000002</v>
      </c>
      <c r="J89">
        <v>493.43</v>
      </c>
      <c r="K89">
        <f>YEAR(SalesTbl[[#This Row],[Order Date]])</f>
        <v>2024</v>
      </c>
    </row>
    <row r="90" spans="1:11">
      <c r="A90" t="s">
        <v>98</v>
      </c>
      <c r="B90" s="1">
        <v>45429</v>
      </c>
      <c r="C90" t="s">
        <v>392</v>
      </c>
      <c r="D90" t="s">
        <v>557</v>
      </c>
      <c r="E90" t="s">
        <v>561</v>
      </c>
      <c r="F90" t="s">
        <v>582</v>
      </c>
      <c r="G90">
        <v>10</v>
      </c>
      <c r="H90">
        <v>51050.41</v>
      </c>
      <c r="I90">
        <v>510504.1</v>
      </c>
      <c r="J90">
        <v>112290.13</v>
      </c>
      <c r="K90">
        <f>YEAR(SalesTbl[[#This Row],[Order Date]])</f>
        <v>2024</v>
      </c>
    </row>
    <row r="91" spans="1:11">
      <c r="A91" t="s">
        <v>99</v>
      </c>
      <c r="B91" s="1">
        <v>45431</v>
      </c>
      <c r="C91" t="s">
        <v>416</v>
      </c>
      <c r="D91" t="s">
        <v>558</v>
      </c>
      <c r="E91" t="s">
        <v>561</v>
      </c>
      <c r="F91" t="s">
        <v>574</v>
      </c>
      <c r="G91">
        <v>5</v>
      </c>
      <c r="H91">
        <v>52655.16</v>
      </c>
      <c r="I91">
        <v>263275.8</v>
      </c>
      <c r="J91">
        <v>58506.43</v>
      </c>
      <c r="K91">
        <f>YEAR(SalesTbl[[#This Row],[Order Date]])</f>
        <v>2024</v>
      </c>
    </row>
    <row r="92" spans="1:11">
      <c r="A92" t="s">
        <v>100</v>
      </c>
      <c r="B92" s="1">
        <v>45432</v>
      </c>
      <c r="C92" t="s">
        <v>417</v>
      </c>
      <c r="D92" t="s">
        <v>557</v>
      </c>
      <c r="E92" t="s">
        <v>561</v>
      </c>
      <c r="F92" t="s">
        <v>574</v>
      </c>
      <c r="G92">
        <v>3</v>
      </c>
      <c r="H92">
        <v>22575.71</v>
      </c>
      <c r="I92">
        <v>67727.13</v>
      </c>
      <c r="J92">
        <v>9975.3799999999992</v>
      </c>
      <c r="K92">
        <f>YEAR(SalesTbl[[#This Row],[Order Date]])</f>
        <v>2024</v>
      </c>
    </row>
    <row r="93" spans="1:11">
      <c r="A93" t="s">
        <v>101</v>
      </c>
      <c r="B93" s="1">
        <v>45433</v>
      </c>
      <c r="C93" t="s">
        <v>418</v>
      </c>
      <c r="D93" t="s">
        <v>560</v>
      </c>
      <c r="E93" t="s">
        <v>561</v>
      </c>
      <c r="F93" t="s">
        <v>564</v>
      </c>
      <c r="G93">
        <v>2</v>
      </c>
      <c r="H93">
        <v>17178.75</v>
      </c>
      <c r="I93">
        <v>34357.5</v>
      </c>
      <c r="J93">
        <v>5446.35</v>
      </c>
      <c r="K93">
        <f>YEAR(SalesTbl[[#This Row],[Order Date]])</f>
        <v>2024</v>
      </c>
    </row>
    <row r="94" spans="1:11">
      <c r="A94" t="s">
        <v>102</v>
      </c>
      <c r="B94" s="1">
        <v>45434</v>
      </c>
      <c r="C94" t="s">
        <v>383</v>
      </c>
      <c r="D94" t="s">
        <v>558</v>
      </c>
      <c r="E94" t="s">
        <v>563</v>
      </c>
      <c r="F94" t="s">
        <v>573</v>
      </c>
      <c r="G94">
        <v>5</v>
      </c>
      <c r="H94">
        <v>1845.44</v>
      </c>
      <c r="I94">
        <v>9227.2000000000007</v>
      </c>
      <c r="J94">
        <v>2754.11</v>
      </c>
      <c r="K94">
        <f>YEAR(SalesTbl[[#This Row],[Order Date]])</f>
        <v>2024</v>
      </c>
    </row>
    <row r="95" spans="1:11">
      <c r="A95" t="s">
        <v>103</v>
      </c>
      <c r="B95" s="1">
        <v>45435</v>
      </c>
      <c r="C95" t="s">
        <v>419</v>
      </c>
      <c r="D95" t="s">
        <v>558</v>
      </c>
      <c r="E95" t="s">
        <v>561</v>
      </c>
      <c r="F95" t="s">
        <v>574</v>
      </c>
      <c r="G95">
        <v>9</v>
      </c>
      <c r="H95">
        <v>45166.55</v>
      </c>
      <c r="I95">
        <v>406498.95</v>
      </c>
      <c r="J95">
        <v>76081.429999999993</v>
      </c>
      <c r="K95">
        <f>YEAR(SalesTbl[[#This Row],[Order Date]])</f>
        <v>2024</v>
      </c>
    </row>
    <row r="96" spans="1:11">
      <c r="A96" t="s">
        <v>104</v>
      </c>
      <c r="B96" s="1">
        <v>45437</v>
      </c>
      <c r="C96" t="s">
        <v>346</v>
      </c>
      <c r="D96" t="s">
        <v>557</v>
      </c>
      <c r="E96" t="s">
        <v>562</v>
      </c>
      <c r="F96" t="s">
        <v>578</v>
      </c>
      <c r="G96">
        <v>6</v>
      </c>
      <c r="H96">
        <v>9192.4500000000007</v>
      </c>
      <c r="I96">
        <v>55154.7</v>
      </c>
      <c r="J96">
        <v>7649.08</v>
      </c>
      <c r="K96">
        <f>YEAR(SalesTbl[[#This Row],[Order Date]])</f>
        <v>2024</v>
      </c>
    </row>
    <row r="97" spans="1:11">
      <c r="A97" t="s">
        <v>105</v>
      </c>
      <c r="B97" s="1">
        <v>45437</v>
      </c>
      <c r="C97" t="s">
        <v>361</v>
      </c>
      <c r="D97" t="s">
        <v>558</v>
      </c>
      <c r="E97" t="s">
        <v>562</v>
      </c>
      <c r="F97" t="s">
        <v>572</v>
      </c>
      <c r="G97">
        <v>10</v>
      </c>
      <c r="H97">
        <v>48375.06</v>
      </c>
      <c r="I97">
        <v>483750.6</v>
      </c>
      <c r="J97">
        <v>66589.070000000007</v>
      </c>
      <c r="K97">
        <f>YEAR(SalesTbl[[#This Row],[Order Date]])</f>
        <v>2024</v>
      </c>
    </row>
    <row r="98" spans="1:11">
      <c r="A98" t="s">
        <v>106</v>
      </c>
      <c r="B98" s="1">
        <v>45438</v>
      </c>
      <c r="C98" t="s">
        <v>366</v>
      </c>
      <c r="D98" t="s">
        <v>559</v>
      </c>
      <c r="E98" t="s">
        <v>562</v>
      </c>
      <c r="F98" t="s">
        <v>577</v>
      </c>
      <c r="G98">
        <v>3</v>
      </c>
      <c r="H98">
        <v>12365.75</v>
      </c>
      <c r="I98">
        <v>37097.25</v>
      </c>
      <c r="J98">
        <v>5130.7</v>
      </c>
      <c r="K98">
        <f>YEAR(SalesTbl[[#This Row],[Order Date]])</f>
        <v>2024</v>
      </c>
    </row>
    <row r="99" spans="1:11">
      <c r="A99" t="s">
        <v>107</v>
      </c>
      <c r="B99" s="1">
        <v>45439</v>
      </c>
      <c r="C99" t="s">
        <v>420</v>
      </c>
      <c r="D99" t="s">
        <v>557</v>
      </c>
      <c r="E99" t="s">
        <v>562</v>
      </c>
      <c r="F99" t="s">
        <v>576</v>
      </c>
      <c r="G99">
        <v>4</v>
      </c>
      <c r="H99">
        <v>15838.23</v>
      </c>
      <c r="I99">
        <v>63352.92</v>
      </c>
      <c r="J99">
        <v>5394.03</v>
      </c>
      <c r="K99">
        <f>YEAR(SalesTbl[[#This Row],[Order Date]])</f>
        <v>2024</v>
      </c>
    </row>
    <row r="100" spans="1:11">
      <c r="A100" t="s">
        <v>108</v>
      </c>
      <c r="B100" s="1">
        <v>45442</v>
      </c>
      <c r="C100" t="s">
        <v>382</v>
      </c>
      <c r="D100" t="s">
        <v>560</v>
      </c>
      <c r="E100" t="s">
        <v>561</v>
      </c>
      <c r="F100" t="s">
        <v>581</v>
      </c>
      <c r="G100">
        <v>7</v>
      </c>
      <c r="H100">
        <v>43233.73</v>
      </c>
      <c r="I100">
        <v>302636.11</v>
      </c>
      <c r="J100">
        <v>39904.629999999997</v>
      </c>
      <c r="K100">
        <f>YEAR(SalesTbl[[#This Row],[Order Date]])</f>
        <v>2024</v>
      </c>
    </row>
    <row r="101" spans="1:11">
      <c r="A101" t="s">
        <v>109</v>
      </c>
      <c r="B101" s="1">
        <v>45447</v>
      </c>
      <c r="C101" t="s">
        <v>421</v>
      </c>
      <c r="D101" t="s">
        <v>557</v>
      </c>
      <c r="E101" t="s">
        <v>563</v>
      </c>
      <c r="F101" t="s">
        <v>566</v>
      </c>
      <c r="G101">
        <v>1</v>
      </c>
      <c r="H101">
        <v>890.09</v>
      </c>
      <c r="I101">
        <v>890.09</v>
      </c>
      <c r="J101">
        <v>187.16</v>
      </c>
      <c r="K101">
        <f>YEAR(SalesTbl[[#This Row],[Order Date]])</f>
        <v>2024</v>
      </c>
    </row>
    <row r="102" spans="1:11">
      <c r="A102" t="s">
        <v>110</v>
      </c>
      <c r="B102" s="1">
        <v>45449</v>
      </c>
      <c r="C102" t="s">
        <v>422</v>
      </c>
      <c r="D102" t="s">
        <v>557</v>
      </c>
      <c r="E102" t="s">
        <v>561</v>
      </c>
      <c r="F102" t="s">
        <v>574</v>
      </c>
      <c r="G102">
        <v>7</v>
      </c>
      <c r="H102">
        <v>27423.8</v>
      </c>
      <c r="I102">
        <v>191966.6</v>
      </c>
      <c r="J102">
        <v>42996.91</v>
      </c>
      <c r="K102">
        <f>YEAR(SalesTbl[[#This Row],[Order Date]])</f>
        <v>2024</v>
      </c>
    </row>
    <row r="103" spans="1:11">
      <c r="A103" t="s">
        <v>111</v>
      </c>
      <c r="B103" s="1">
        <v>45450</v>
      </c>
      <c r="C103" t="s">
        <v>352</v>
      </c>
      <c r="D103" t="s">
        <v>558</v>
      </c>
      <c r="E103" t="s">
        <v>561</v>
      </c>
      <c r="F103" t="s">
        <v>564</v>
      </c>
      <c r="G103">
        <v>8</v>
      </c>
      <c r="H103">
        <v>21580.6</v>
      </c>
      <c r="I103">
        <v>172644.8</v>
      </c>
      <c r="J103">
        <v>34272.5</v>
      </c>
      <c r="K103">
        <f>YEAR(SalesTbl[[#This Row],[Order Date]])</f>
        <v>2024</v>
      </c>
    </row>
    <row r="104" spans="1:11">
      <c r="A104" t="s">
        <v>112</v>
      </c>
      <c r="B104" s="1">
        <v>45452</v>
      </c>
      <c r="C104" t="s">
        <v>423</v>
      </c>
      <c r="D104" t="s">
        <v>559</v>
      </c>
      <c r="E104" t="s">
        <v>563</v>
      </c>
      <c r="F104" t="s">
        <v>566</v>
      </c>
      <c r="G104">
        <v>5</v>
      </c>
      <c r="H104">
        <v>121.4</v>
      </c>
      <c r="I104">
        <v>607</v>
      </c>
      <c r="J104">
        <v>127.71</v>
      </c>
      <c r="K104">
        <f>YEAR(SalesTbl[[#This Row],[Order Date]])</f>
        <v>2024</v>
      </c>
    </row>
    <row r="105" spans="1:11">
      <c r="A105" t="s">
        <v>113</v>
      </c>
      <c r="B105" s="1">
        <v>45452</v>
      </c>
      <c r="C105" t="s">
        <v>336</v>
      </c>
      <c r="D105" t="s">
        <v>557</v>
      </c>
      <c r="E105" t="s">
        <v>562</v>
      </c>
      <c r="F105" t="s">
        <v>575</v>
      </c>
      <c r="G105">
        <v>10</v>
      </c>
      <c r="H105">
        <v>79909.03</v>
      </c>
      <c r="I105">
        <v>799090.3</v>
      </c>
      <c r="J105">
        <v>133980.70000000001</v>
      </c>
      <c r="K105">
        <f>YEAR(SalesTbl[[#This Row],[Order Date]])</f>
        <v>2024</v>
      </c>
    </row>
    <row r="106" spans="1:11">
      <c r="A106" t="s">
        <v>114</v>
      </c>
      <c r="B106" s="1">
        <v>45462</v>
      </c>
      <c r="C106" t="s">
        <v>424</v>
      </c>
      <c r="D106" t="s">
        <v>558</v>
      </c>
      <c r="E106" t="s">
        <v>563</v>
      </c>
      <c r="F106" t="s">
        <v>573</v>
      </c>
      <c r="G106">
        <v>7</v>
      </c>
      <c r="H106">
        <v>852.09</v>
      </c>
      <c r="I106">
        <v>5964.63</v>
      </c>
      <c r="J106">
        <v>1367.44</v>
      </c>
      <c r="K106">
        <f>YEAR(SalesTbl[[#This Row],[Order Date]])</f>
        <v>2024</v>
      </c>
    </row>
    <row r="107" spans="1:11">
      <c r="A107" t="s">
        <v>115</v>
      </c>
      <c r="B107" s="1">
        <v>45463</v>
      </c>
      <c r="C107" t="s">
        <v>425</v>
      </c>
      <c r="D107" t="s">
        <v>557</v>
      </c>
      <c r="E107" t="s">
        <v>561</v>
      </c>
      <c r="F107" t="s">
        <v>574</v>
      </c>
      <c r="G107">
        <v>6</v>
      </c>
      <c r="H107">
        <v>53262.23</v>
      </c>
      <c r="I107">
        <v>319573.38</v>
      </c>
      <c r="J107">
        <v>62869.67</v>
      </c>
      <c r="K107">
        <f>YEAR(SalesTbl[[#This Row],[Order Date]])</f>
        <v>2024</v>
      </c>
    </row>
    <row r="108" spans="1:11">
      <c r="A108" t="s">
        <v>116</v>
      </c>
      <c r="B108" s="1">
        <v>45463</v>
      </c>
      <c r="C108" t="s">
        <v>426</v>
      </c>
      <c r="D108" t="s">
        <v>560</v>
      </c>
      <c r="E108" t="s">
        <v>562</v>
      </c>
      <c r="F108" t="s">
        <v>576</v>
      </c>
      <c r="G108">
        <v>5</v>
      </c>
      <c r="H108">
        <v>84730.58</v>
      </c>
      <c r="I108">
        <v>423652.9</v>
      </c>
      <c r="J108">
        <v>71321.710000000006</v>
      </c>
      <c r="K108">
        <f>YEAR(SalesTbl[[#This Row],[Order Date]])</f>
        <v>2024</v>
      </c>
    </row>
    <row r="109" spans="1:11">
      <c r="A109" t="s">
        <v>117</v>
      </c>
      <c r="B109" s="1">
        <v>45470</v>
      </c>
      <c r="C109" t="s">
        <v>393</v>
      </c>
      <c r="D109" t="s">
        <v>557</v>
      </c>
      <c r="E109" t="s">
        <v>563</v>
      </c>
      <c r="F109" t="s">
        <v>566</v>
      </c>
      <c r="G109">
        <v>9</v>
      </c>
      <c r="H109">
        <v>1030.49</v>
      </c>
      <c r="I109">
        <v>9274.41</v>
      </c>
      <c r="J109">
        <v>2455.15</v>
      </c>
      <c r="K109">
        <f>YEAR(SalesTbl[[#This Row],[Order Date]])</f>
        <v>2024</v>
      </c>
    </row>
    <row r="110" spans="1:11">
      <c r="A110" t="s">
        <v>118</v>
      </c>
      <c r="B110" s="1">
        <v>45473</v>
      </c>
      <c r="C110" t="s">
        <v>427</v>
      </c>
      <c r="D110" t="s">
        <v>560</v>
      </c>
      <c r="E110" t="s">
        <v>563</v>
      </c>
      <c r="F110" t="s">
        <v>570</v>
      </c>
      <c r="G110">
        <v>7</v>
      </c>
      <c r="H110">
        <v>859.69</v>
      </c>
      <c r="I110">
        <v>6017.83</v>
      </c>
      <c r="J110">
        <v>2000.19</v>
      </c>
      <c r="K110">
        <f>YEAR(SalesTbl[[#This Row],[Order Date]])</f>
        <v>2024</v>
      </c>
    </row>
    <row r="111" spans="1:11">
      <c r="A111" t="s">
        <v>119</v>
      </c>
      <c r="B111" s="1">
        <v>45474</v>
      </c>
      <c r="C111" t="s">
        <v>428</v>
      </c>
      <c r="D111" t="s">
        <v>558</v>
      </c>
      <c r="E111" t="s">
        <v>561</v>
      </c>
      <c r="F111" t="s">
        <v>571</v>
      </c>
      <c r="G111">
        <v>7</v>
      </c>
      <c r="H111">
        <v>22961.32</v>
      </c>
      <c r="I111">
        <v>160729.24</v>
      </c>
      <c r="J111">
        <v>25875.439999999999</v>
      </c>
      <c r="K111">
        <f>YEAR(SalesTbl[[#This Row],[Order Date]])</f>
        <v>2024</v>
      </c>
    </row>
    <row r="112" spans="1:11">
      <c r="A112" t="s">
        <v>120</v>
      </c>
      <c r="B112" s="1">
        <v>45474</v>
      </c>
      <c r="C112" t="s">
        <v>429</v>
      </c>
      <c r="D112" t="s">
        <v>560</v>
      </c>
      <c r="E112" t="s">
        <v>562</v>
      </c>
      <c r="F112" t="s">
        <v>572</v>
      </c>
      <c r="G112">
        <v>6</v>
      </c>
      <c r="H112">
        <v>53251.8</v>
      </c>
      <c r="I112">
        <v>319510.8</v>
      </c>
      <c r="J112">
        <v>47852.1</v>
      </c>
      <c r="K112">
        <f>YEAR(SalesTbl[[#This Row],[Order Date]])</f>
        <v>2024</v>
      </c>
    </row>
    <row r="113" spans="1:11">
      <c r="A113" t="s">
        <v>121</v>
      </c>
      <c r="B113" s="1">
        <v>45478</v>
      </c>
      <c r="C113" t="s">
        <v>430</v>
      </c>
      <c r="D113" t="s">
        <v>559</v>
      </c>
      <c r="E113" t="s">
        <v>563</v>
      </c>
      <c r="F113" t="s">
        <v>567</v>
      </c>
      <c r="G113">
        <v>3</v>
      </c>
      <c r="H113">
        <v>786.75</v>
      </c>
      <c r="I113">
        <v>2360.25</v>
      </c>
      <c r="J113">
        <v>661.94</v>
      </c>
      <c r="K113">
        <f>YEAR(SalesTbl[[#This Row],[Order Date]])</f>
        <v>2024</v>
      </c>
    </row>
    <row r="114" spans="1:11">
      <c r="A114" t="s">
        <v>122</v>
      </c>
      <c r="B114" s="1">
        <v>45479</v>
      </c>
      <c r="C114" t="s">
        <v>431</v>
      </c>
      <c r="D114" t="s">
        <v>560</v>
      </c>
      <c r="E114" t="s">
        <v>562</v>
      </c>
      <c r="F114" t="s">
        <v>575</v>
      </c>
      <c r="G114">
        <v>9</v>
      </c>
      <c r="H114">
        <v>49528.6</v>
      </c>
      <c r="I114">
        <v>445757.4</v>
      </c>
      <c r="J114">
        <v>48867.199999999997</v>
      </c>
      <c r="K114">
        <f>YEAR(SalesTbl[[#This Row],[Order Date]])</f>
        <v>2024</v>
      </c>
    </row>
    <row r="115" spans="1:11">
      <c r="A115" t="s">
        <v>123</v>
      </c>
      <c r="B115" s="1">
        <v>45479</v>
      </c>
      <c r="C115" t="s">
        <v>432</v>
      </c>
      <c r="D115" t="s">
        <v>559</v>
      </c>
      <c r="E115" t="s">
        <v>563</v>
      </c>
      <c r="F115" t="s">
        <v>568</v>
      </c>
      <c r="G115">
        <v>3</v>
      </c>
      <c r="H115">
        <v>1950.19</v>
      </c>
      <c r="I115">
        <v>5850.57</v>
      </c>
      <c r="J115">
        <v>1745.63</v>
      </c>
      <c r="K115">
        <f>YEAR(SalesTbl[[#This Row],[Order Date]])</f>
        <v>2024</v>
      </c>
    </row>
    <row r="116" spans="1:11">
      <c r="A116" t="s">
        <v>124</v>
      </c>
      <c r="B116" s="1">
        <v>45481</v>
      </c>
      <c r="C116" t="s">
        <v>433</v>
      </c>
      <c r="D116" t="s">
        <v>558</v>
      </c>
      <c r="E116" t="s">
        <v>562</v>
      </c>
      <c r="F116" t="s">
        <v>577</v>
      </c>
      <c r="G116">
        <v>1</v>
      </c>
      <c r="H116">
        <v>36919.730000000003</v>
      </c>
      <c r="I116">
        <v>36919.730000000003</v>
      </c>
      <c r="J116">
        <v>3259.61</v>
      </c>
      <c r="K116">
        <f>YEAR(SalesTbl[[#This Row],[Order Date]])</f>
        <v>2024</v>
      </c>
    </row>
    <row r="117" spans="1:11">
      <c r="A117" t="s">
        <v>125</v>
      </c>
      <c r="B117" s="1">
        <v>45481</v>
      </c>
      <c r="C117" t="s">
        <v>434</v>
      </c>
      <c r="D117" t="s">
        <v>558</v>
      </c>
      <c r="E117" t="s">
        <v>563</v>
      </c>
      <c r="F117" t="s">
        <v>567</v>
      </c>
      <c r="G117">
        <v>3</v>
      </c>
      <c r="H117">
        <v>407.9</v>
      </c>
      <c r="I117">
        <v>1223.7</v>
      </c>
      <c r="J117">
        <v>299.83</v>
      </c>
      <c r="K117">
        <f>YEAR(SalesTbl[[#This Row],[Order Date]])</f>
        <v>2024</v>
      </c>
    </row>
    <row r="118" spans="1:11">
      <c r="A118" t="s">
        <v>126</v>
      </c>
      <c r="B118" s="1">
        <v>45486</v>
      </c>
      <c r="C118" t="s">
        <v>435</v>
      </c>
      <c r="D118" t="s">
        <v>558</v>
      </c>
      <c r="E118" t="s">
        <v>561</v>
      </c>
      <c r="F118" t="s">
        <v>564</v>
      </c>
      <c r="G118">
        <v>2</v>
      </c>
      <c r="H118">
        <v>28919.7</v>
      </c>
      <c r="I118">
        <v>57839.4</v>
      </c>
      <c r="J118">
        <v>11466.75</v>
      </c>
      <c r="K118">
        <f>YEAR(SalesTbl[[#This Row],[Order Date]])</f>
        <v>2024</v>
      </c>
    </row>
    <row r="119" spans="1:11">
      <c r="A119" t="s">
        <v>127</v>
      </c>
      <c r="B119" s="1">
        <v>45487</v>
      </c>
      <c r="C119" t="s">
        <v>436</v>
      </c>
      <c r="D119" t="s">
        <v>558</v>
      </c>
      <c r="E119" t="s">
        <v>562</v>
      </c>
      <c r="F119" t="s">
        <v>575</v>
      </c>
      <c r="G119">
        <v>2</v>
      </c>
      <c r="H119">
        <v>62820.800000000003</v>
      </c>
      <c r="I119">
        <v>125641.60000000001</v>
      </c>
      <c r="J119">
        <v>17953.47</v>
      </c>
      <c r="K119">
        <f>YEAR(SalesTbl[[#This Row],[Order Date]])</f>
        <v>2024</v>
      </c>
    </row>
    <row r="120" spans="1:11">
      <c r="A120" t="s">
        <v>128</v>
      </c>
      <c r="B120" s="1">
        <v>45491</v>
      </c>
      <c r="C120" t="s">
        <v>437</v>
      </c>
      <c r="D120" t="s">
        <v>558</v>
      </c>
      <c r="E120" t="s">
        <v>563</v>
      </c>
      <c r="F120" t="s">
        <v>573</v>
      </c>
      <c r="G120">
        <v>9</v>
      </c>
      <c r="H120">
        <v>1036.19</v>
      </c>
      <c r="I120">
        <v>9325.7099999999991</v>
      </c>
      <c r="J120">
        <v>2703.83</v>
      </c>
      <c r="K120">
        <f>YEAR(SalesTbl[[#This Row],[Order Date]])</f>
        <v>2024</v>
      </c>
    </row>
    <row r="121" spans="1:11">
      <c r="A121" t="s">
        <v>129</v>
      </c>
      <c r="B121" s="1">
        <v>45492</v>
      </c>
      <c r="C121" t="s">
        <v>438</v>
      </c>
      <c r="D121" t="s">
        <v>557</v>
      </c>
      <c r="E121" t="s">
        <v>561</v>
      </c>
      <c r="F121" t="s">
        <v>571</v>
      </c>
      <c r="G121">
        <v>4</v>
      </c>
      <c r="H121">
        <v>17852.59</v>
      </c>
      <c r="I121">
        <v>71410.36</v>
      </c>
      <c r="J121">
        <v>14165.08</v>
      </c>
      <c r="K121">
        <f>YEAR(SalesTbl[[#This Row],[Order Date]])</f>
        <v>2024</v>
      </c>
    </row>
    <row r="122" spans="1:11">
      <c r="A122" t="s">
        <v>130</v>
      </c>
      <c r="B122" s="1">
        <v>45493</v>
      </c>
      <c r="C122" t="s">
        <v>372</v>
      </c>
      <c r="D122" t="s">
        <v>560</v>
      </c>
      <c r="E122" t="s">
        <v>561</v>
      </c>
      <c r="F122" t="s">
        <v>574</v>
      </c>
      <c r="G122">
        <v>8</v>
      </c>
      <c r="H122">
        <v>49341.71</v>
      </c>
      <c r="I122">
        <v>394733.68</v>
      </c>
      <c r="J122">
        <v>76640.59</v>
      </c>
      <c r="K122">
        <f>YEAR(SalesTbl[[#This Row],[Order Date]])</f>
        <v>2024</v>
      </c>
    </row>
    <row r="123" spans="1:11">
      <c r="A123" t="s">
        <v>131</v>
      </c>
      <c r="B123" s="1">
        <v>45498</v>
      </c>
      <c r="C123" t="s">
        <v>439</v>
      </c>
      <c r="D123" t="s">
        <v>560</v>
      </c>
      <c r="E123" t="s">
        <v>563</v>
      </c>
      <c r="F123" t="s">
        <v>573</v>
      </c>
      <c r="G123">
        <v>10</v>
      </c>
      <c r="H123">
        <v>1738.79</v>
      </c>
      <c r="I123">
        <v>17387.900000000001</v>
      </c>
      <c r="J123">
        <v>4428.4799999999996</v>
      </c>
      <c r="K123">
        <f>YEAR(SalesTbl[[#This Row],[Order Date]])</f>
        <v>2024</v>
      </c>
    </row>
    <row r="124" spans="1:11">
      <c r="A124" t="s">
        <v>132</v>
      </c>
      <c r="B124" s="1">
        <v>45504</v>
      </c>
      <c r="C124" t="s">
        <v>411</v>
      </c>
      <c r="D124" t="s">
        <v>560</v>
      </c>
      <c r="E124" t="s">
        <v>561</v>
      </c>
      <c r="F124" t="s">
        <v>582</v>
      </c>
      <c r="G124">
        <v>5</v>
      </c>
      <c r="H124">
        <v>54621.51</v>
      </c>
      <c r="I124">
        <v>273107.55</v>
      </c>
      <c r="J124">
        <v>41755.06</v>
      </c>
      <c r="K124">
        <f>YEAR(SalesTbl[[#This Row],[Order Date]])</f>
        <v>2024</v>
      </c>
    </row>
    <row r="125" spans="1:11">
      <c r="A125" t="s">
        <v>133</v>
      </c>
      <c r="B125" s="1">
        <v>45506</v>
      </c>
      <c r="C125" t="s">
        <v>440</v>
      </c>
      <c r="D125" t="s">
        <v>559</v>
      </c>
      <c r="E125" t="s">
        <v>561</v>
      </c>
      <c r="F125" t="s">
        <v>580</v>
      </c>
      <c r="G125">
        <v>2</v>
      </c>
      <c r="H125">
        <v>30570.27</v>
      </c>
      <c r="I125">
        <v>61140.54</v>
      </c>
      <c r="J125">
        <v>15035.97</v>
      </c>
      <c r="K125">
        <f>YEAR(SalesTbl[[#This Row],[Order Date]])</f>
        <v>2024</v>
      </c>
    </row>
    <row r="126" spans="1:11">
      <c r="A126" t="s">
        <v>134</v>
      </c>
      <c r="B126" s="1">
        <v>45508</v>
      </c>
      <c r="C126" t="s">
        <v>441</v>
      </c>
      <c r="D126" t="s">
        <v>557</v>
      </c>
      <c r="E126" t="s">
        <v>563</v>
      </c>
      <c r="F126" t="s">
        <v>569</v>
      </c>
      <c r="G126">
        <v>8</v>
      </c>
      <c r="H126">
        <v>2834.46</v>
      </c>
      <c r="I126">
        <v>22675.68</v>
      </c>
      <c r="J126">
        <v>5757.82</v>
      </c>
      <c r="K126">
        <f>YEAR(SalesTbl[[#This Row],[Order Date]])</f>
        <v>2024</v>
      </c>
    </row>
    <row r="127" spans="1:11">
      <c r="A127" t="s">
        <v>135</v>
      </c>
      <c r="B127" s="1">
        <v>45509</v>
      </c>
      <c r="C127" t="s">
        <v>442</v>
      </c>
      <c r="D127" t="s">
        <v>559</v>
      </c>
      <c r="E127" t="s">
        <v>561</v>
      </c>
      <c r="F127" t="s">
        <v>580</v>
      </c>
      <c r="G127">
        <v>7</v>
      </c>
      <c r="H127">
        <v>13895.99</v>
      </c>
      <c r="I127">
        <v>97271.93</v>
      </c>
      <c r="J127">
        <v>12183.93</v>
      </c>
      <c r="K127">
        <f>YEAR(SalesTbl[[#This Row],[Order Date]])</f>
        <v>2024</v>
      </c>
    </row>
    <row r="128" spans="1:11">
      <c r="A128" t="s">
        <v>136</v>
      </c>
      <c r="B128" s="1">
        <v>45509</v>
      </c>
      <c r="C128" t="s">
        <v>443</v>
      </c>
      <c r="D128" t="s">
        <v>559</v>
      </c>
      <c r="E128" t="s">
        <v>563</v>
      </c>
      <c r="F128" t="s">
        <v>567</v>
      </c>
      <c r="G128">
        <v>5</v>
      </c>
      <c r="H128">
        <v>3065.29</v>
      </c>
      <c r="I128">
        <v>15326.45</v>
      </c>
      <c r="J128">
        <v>3992.39</v>
      </c>
      <c r="K128">
        <f>YEAR(SalesTbl[[#This Row],[Order Date]])</f>
        <v>2024</v>
      </c>
    </row>
    <row r="129" spans="1:11">
      <c r="A129" t="s">
        <v>137</v>
      </c>
      <c r="B129" s="1">
        <v>45511</v>
      </c>
      <c r="C129" t="s">
        <v>444</v>
      </c>
      <c r="D129" t="s">
        <v>559</v>
      </c>
      <c r="E129" t="s">
        <v>561</v>
      </c>
      <c r="F129" t="s">
        <v>581</v>
      </c>
      <c r="G129">
        <v>4</v>
      </c>
      <c r="H129">
        <v>31945.25</v>
      </c>
      <c r="I129">
        <v>127781</v>
      </c>
      <c r="J129">
        <v>17307.47</v>
      </c>
      <c r="K129">
        <f>YEAR(SalesTbl[[#This Row],[Order Date]])</f>
        <v>2024</v>
      </c>
    </row>
    <row r="130" spans="1:11">
      <c r="A130" t="s">
        <v>138</v>
      </c>
      <c r="B130" s="1">
        <v>45514</v>
      </c>
      <c r="C130" t="s">
        <v>402</v>
      </c>
      <c r="D130" t="s">
        <v>560</v>
      </c>
      <c r="E130" t="s">
        <v>563</v>
      </c>
      <c r="F130" t="s">
        <v>567</v>
      </c>
      <c r="G130">
        <v>3</v>
      </c>
      <c r="H130">
        <v>110.45</v>
      </c>
      <c r="I130">
        <v>331.35</v>
      </c>
      <c r="J130">
        <v>87.98</v>
      </c>
      <c r="K130">
        <f>YEAR(SalesTbl[[#This Row],[Order Date]])</f>
        <v>2024</v>
      </c>
    </row>
    <row r="131" spans="1:11">
      <c r="A131" t="s">
        <v>139</v>
      </c>
      <c r="B131" s="1">
        <v>45514</v>
      </c>
      <c r="C131" t="s">
        <v>445</v>
      </c>
      <c r="D131" t="s">
        <v>560</v>
      </c>
      <c r="E131" t="s">
        <v>562</v>
      </c>
      <c r="F131" t="s">
        <v>576</v>
      </c>
      <c r="G131">
        <v>4</v>
      </c>
      <c r="H131">
        <v>80850.009999999995</v>
      </c>
      <c r="I131">
        <v>323400.03999999998</v>
      </c>
      <c r="J131">
        <v>57224.68</v>
      </c>
      <c r="K131">
        <f>YEAR(SalesTbl[[#This Row],[Order Date]])</f>
        <v>2024</v>
      </c>
    </row>
    <row r="132" spans="1:11">
      <c r="A132" t="s">
        <v>140</v>
      </c>
      <c r="B132" s="1">
        <v>45516</v>
      </c>
      <c r="C132" t="s">
        <v>425</v>
      </c>
      <c r="D132" t="s">
        <v>558</v>
      </c>
      <c r="E132" t="s">
        <v>562</v>
      </c>
      <c r="F132" t="s">
        <v>577</v>
      </c>
      <c r="G132">
        <v>2</v>
      </c>
      <c r="H132">
        <v>36146.17</v>
      </c>
      <c r="I132">
        <v>72292.34</v>
      </c>
      <c r="J132">
        <v>9712.86</v>
      </c>
      <c r="K132">
        <f>YEAR(SalesTbl[[#This Row],[Order Date]])</f>
        <v>2024</v>
      </c>
    </row>
    <row r="133" spans="1:11">
      <c r="A133" t="s">
        <v>141</v>
      </c>
      <c r="B133" s="1">
        <v>45516</v>
      </c>
      <c r="C133" t="s">
        <v>446</v>
      </c>
      <c r="D133" t="s">
        <v>559</v>
      </c>
      <c r="E133" t="s">
        <v>562</v>
      </c>
      <c r="F133" t="s">
        <v>572</v>
      </c>
      <c r="G133">
        <v>2</v>
      </c>
      <c r="H133">
        <v>57640.09</v>
      </c>
      <c r="I133">
        <v>115280.18</v>
      </c>
      <c r="J133">
        <v>15343.04</v>
      </c>
      <c r="K133">
        <f>YEAR(SalesTbl[[#This Row],[Order Date]])</f>
        <v>2024</v>
      </c>
    </row>
    <row r="134" spans="1:11">
      <c r="A134" t="s">
        <v>142</v>
      </c>
      <c r="B134" s="1">
        <v>45518</v>
      </c>
      <c r="C134" t="s">
        <v>436</v>
      </c>
      <c r="D134" t="s">
        <v>560</v>
      </c>
      <c r="E134" t="s">
        <v>561</v>
      </c>
      <c r="F134" t="s">
        <v>571</v>
      </c>
      <c r="G134">
        <v>7</v>
      </c>
      <c r="H134">
        <v>52272.71</v>
      </c>
      <c r="I134">
        <v>365908.97</v>
      </c>
      <c r="J134">
        <v>75478.7</v>
      </c>
      <c r="K134">
        <f>YEAR(SalesTbl[[#This Row],[Order Date]])</f>
        <v>2024</v>
      </c>
    </row>
    <row r="135" spans="1:11">
      <c r="A135" t="s">
        <v>143</v>
      </c>
      <c r="B135" s="1">
        <v>45520</v>
      </c>
      <c r="C135" t="s">
        <v>447</v>
      </c>
      <c r="D135" t="s">
        <v>559</v>
      </c>
      <c r="E135" t="s">
        <v>563</v>
      </c>
      <c r="F135" t="s">
        <v>567</v>
      </c>
      <c r="G135">
        <v>3</v>
      </c>
      <c r="H135">
        <v>846.43</v>
      </c>
      <c r="I135">
        <v>2539.29</v>
      </c>
      <c r="J135">
        <v>527.98</v>
      </c>
      <c r="K135">
        <f>YEAR(SalesTbl[[#This Row],[Order Date]])</f>
        <v>2024</v>
      </c>
    </row>
    <row r="136" spans="1:11">
      <c r="A136" t="s">
        <v>144</v>
      </c>
      <c r="B136" s="1">
        <v>45522</v>
      </c>
      <c r="C136" t="s">
        <v>411</v>
      </c>
      <c r="D136" t="s">
        <v>558</v>
      </c>
      <c r="E136" t="s">
        <v>563</v>
      </c>
      <c r="F136" t="s">
        <v>573</v>
      </c>
      <c r="G136">
        <v>1</v>
      </c>
      <c r="H136">
        <v>3631.97</v>
      </c>
      <c r="I136">
        <v>3631.97</v>
      </c>
      <c r="J136">
        <v>794.49</v>
      </c>
      <c r="K136">
        <f>YEAR(SalesTbl[[#This Row],[Order Date]])</f>
        <v>2024</v>
      </c>
    </row>
    <row r="137" spans="1:11">
      <c r="A137" t="s">
        <v>145</v>
      </c>
      <c r="B137" s="1">
        <v>45522</v>
      </c>
      <c r="C137" t="s">
        <v>445</v>
      </c>
      <c r="D137" t="s">
        <v>557</v>
      </c>
      <c r="E137" t="s">
        <v>561</v>
      </c>
      <c r="F137" t="s">
        <v>574</v>
      </c>
      <c r="G137">
        <v>6</v>
      </c>
      <c r="H137">
        <v>32035.52</v>
      </c>
      <c r="I137">
        <v>192213.12</v>
      </c>
      <c r="J137">
        <v>41866.400000000001</v>
      </c>
      <c r="K137">
        <f>YEAR(SalesTbl[[#This Row],[Order Date]])</f>
        <v>2024</v>
      </c>
    </row>
    <row r="138" spans="1:11">
      <c r="A138" t="s">
        <v>146</v>
      </c>
      <c r="B138" s="1">
        <v>45525</v>
      </c>
      <c r="C138" t="s">
        <v>429</v>
      </c>
      <c r="D138" t="s">
        <v>558</v>
      </c>
      <c r="E138" t="s">
        <v>563</v>
      </c>
      <c r="F138" t="s">
        <v>568</v>
      </c>
      <c r="G138">
        <v>6</v>
      </c>
      <c r="H138">
        <v>1383.58</v>
      </c>
      <c r="I138">
        <v>8301.48</v>
      </c>
      <c r="J138">
        <v>1803</v>
      </c>
      <c r="K138">
        <f>YEAR(SalesTbl[[#This Row],[Order Date]])</f>
        <v>2024</v>
      </c>
    </row>
    <row r="139" spans="1:11">
      <c r="A139" t="s">
        <v>147</v>
      </c>
      <c r="B139" s="1">
        <v>45526</v>
      </c>
      <c r="C139" t="s">
        <v>448</v>
      </c>
      <c r="D139" t="s">
        <v>559</v>
      </c>
      <c r="E139" t="s">
        <v>563</v>
      </c>
      <c r="F139" t="s">
        <v>570</v>
      </c>
      <c r="G139">
        <v>10</v>
      </c>
      <c r="H139">
        <v>1715.73</v>
      </c>
      <c r="I139">
        <v>17157.3</v>
      </c>
      <c r="J139">
        <v>4621.62</v>
      </c>
      <c r="K139">
        <f>YEAR(SalesTbl[[#This Row],[Order Date]])</f>
        <v>2024</v>
      </c>
    </row>
    <row r="140" spans="1:11">
      <c r="A140" t="s">
        <v>148</v>
      </c>
      <c r="B140" s="1">
        <v>45527</v>
      </c>
      <c r="C140" t="s">
        <v>449</v>
      </c>
      <c r="D140" t="s">
        <v>558</v>
      </c>
      <c r="E140" t="s">
        <v>561</v>
      </c>
      <c r="F140" t="s">
        <v>581</v>
      </c>
      <c r="G140">
        <v>5</v>
      </c>
      <c r="H140">
        <v>23178.28</v>
      </c>
      <c r="I140">
        <v>115891.4</v>
      </c>
      <c r="J140">
        <v>24918.13</v>
      </c>
      <c r="K140">
        <f>YEAR(SalesTbl[[#This Row],[Order Date]])</f>
        <v>2024</v>
      </c>
    </row>
    <row r="141" spans="1:11">
      <c r="A141" t="s">
        <v>149</v>
      </c>
      <c r="B141" s="1">
        <v>45528</v>
      </c>
      <c r="C141" t="s">
        <v>450</v>
      </c>
      <c r="D141" t="s">
        <v>557</v>
      </c>
      <c r="E141" t="s">
        <v>561</v>
      </c>
      <c r="F141" t="s">
        <v>574</v>
      </c>
      <c r="G141">
        <v>9</v>
      </c>
      <c r="H141">
        <v>22857.19</v>
      </c>
      <c r="I141">
        <v>205714.71</v>
      </c>
      <c r="J141">
        <v>28412.55</v>
      </c>
      <c r="K141">
        <f>YEAR(SalesTbl[[#This Row],[Order Date]])</f>
        <v>2024</v>
      </c>
    </row>
    <row r="142" spans="1:11">
      <c r="A142" t="s">
        <v>150</v>
      </c>
      <c r="B142" s="1">
        <v>45530</v>
      </c>
      <c r="C142" t="s">
        <v>451</v>
      </c>
      <c r="D142" t="s">
        <v>560</v>
      </c>
      <c r="E142" t="s">
        <v>563</v>
      </c>
      <c r="F142" t="s">
        <v>573</v>
      </c>
      <c r="G142">
        <v>3</v>
      </c>
      <c r="H142">
        <v>2299.3000000000002</v>
      </c>
      <c r="I142">
        <v>6897.9</v>
      </c>
      <c r="J142">
        <v>2007.06</v>
      </c>
      <c r="K142">
        <f>YEAR(SalesTbl[[#This Row],[Order Date]])</f>
        <v>2024</v>
      </c>
    </row>
    <row r="143" spans="1:11">
      <c r="A143" t="s">
        <v>151</v>
      </c>
      <c r="B143" s="1">
        <v>45533</v>
      </c>
      <c r="C143" t="s">
        <v>452</v>
      </c>
      <c r="D143" t="s">
        <v>557</v>
      </c>
      <c r="E143" t="s">
        <v>563</v>
      </c>
      <c r="F143" t="s">
        <v>566</v>
      </c>
      <c r="G143">
        <v>5</v>
      </c>
      <c r="H143">
        <v>2228.77</v>
      </c>
      <c r="I143">
        <v>11143.85</v>
      </c>
      <c r="J143">
        <v>2055.84</v>
      </c>
      <c r="K143">
        <f>YEAR(SalesTbl[[#This Row],[Order Date]])</f>
        <v>2024</v>
      </c>
    </row>
    <row r="144" spans="1:11">
      <c r="A144" t="s">
        <v>152</v>
      </c>
      <c r="B144" s="1">
        <v>45534</v>
      </c>
      <c r="C144" t="s">
        <v>425</v>
      </c>
      <c r="D144" t="s">
        <v>559</v>
      </c>
      <c r="E144" t="s">
        <v>563</v>
      </c>
      <c r="F144" t="s">
        <v>573</v>
      </c>
      <c r="G144">
        <v>5</v>
      </c>
      <c r="H144">
        <v>122.06</v>
      </c>
      <c r="I144">
        <v>610.29999999999995</v>
      </c>
      <c r="J144">
        <v>211.78</v>
      </c>
      <c r="K144">
        <f>YEAR(SalesTbl[[#This Row],[Order Date]])</f>
        <v>2024</v>
      </c>
    </row>
    <row r="145" spans="1:11">
      <c r="A145" t="s">
        <v>153</v>
      </c>
      <c r="B145" s="1">
        <v>45535</v>
      </c>
      <c r="C145" t="s">
        <v>375</v>
      </c>
      <c r="D145" t="s">
        <v>558</v>
      </c>
      <c r="E145" t="s">
        <v>562</v>
      </c>
      <c r="F145" t="s">
        <v>572</v>
      </c>
      <c r="G145">
        <v>3</v>
      </c>
      <c r="H145">
        <v>53928.69</v>
      </c>
      <c r="I145">
        <v>161786.07</v>
      </c>
      <c r="J145">
        <v>26855.52</v>
      </c>
      <c r="K145">
        <f>YEAR(SalesTbl[[#This Row],[Order Date]])</f>
        <v>2024</v>
      </c>
    </row>
    <row r="146" spans="1:11">
      <c r="A146" t="s">
        <v>154</v>
      </c>
      <c r="B146" s="1">
        <v>45536</v>
      </c>
      <c r="C146" t="s">
        <v>419</v>
      </c>
      <c r="D146" t="s">
        <v>559</v>
      </c>
      <c r="E146" t="s">
        <v>563</v>
      </c>
      <c r="F146" t="s">
        <v>573</v>
      </c>
      <c r="G146">
        <v>8</v>
      </c>
      <c r="H146">
        <v>1945.14</v>
      </c>
      <c r="I146">
        <v>15561.12</v>
      </c>
      <c r="J146">
        <v>3519.72</v>
      </c>
      <c r="K146">
        <f>YEAR(SalesTbl[[#This Row],[Order Date]])</f>
        <v>2024</v>
      </c>
    </row>
    <row r="147" spans="1:11">
      <c r="A147" t="s">
        <v>155</v>
      </c>
      <c r="B147" s="1">
        <v>45538</v>
      </c>
      <c r="C147" t="s">
        <v>453</v>
      </c>
      <c r="D147" t="s">
        <v>560</v>
      </c>
      <c r="E147" t="s">
        <v>562</v>
      </c>
      <c r="F147" t="s">
        <v>576</v>
      </c>
      <c r="G147">
        <v>10</v>
      </c>
      <c r="H147">
        <v>5722.88</v>
      </c>
      <c r="I147">
        <v>57228.800000000003</v>
      </c>
      <c r="J147">
        <v>6615.49</v>
      </c>
      <c r="K147">
        <f>YEAR(SalesTbl[[#This Row],[Order Date]])</f>
        <v>2024</v>
      </c>
    </row>
    <row r="148" spans="1:11">
      <c r="A148" t="s">
        <v>156</v>
      </c>
      <c r="B148" s="1">
        <v>45541</v>
      </c>
      <c r="C148" t="s">
        <v>454</v>
      </c>
      <c r="D148" t="s">
        <v>560</v>
      </c>
      <c r="E148" t="s">
        <v>561</v>
      </c>
      <c r="F148" t="s">
        <v>581</v>
      </c>
      <c r="G148">
        <v>6</v>
      </c>
      <c r="H148">
        <v>29192.55</v>
      </c>
      <c r="I148">
        <v>175155.3</v>
      </c>
      <c r="J148">
        <v>39949.120000000003</v>
      </c>
      <c r="K148">
        <f>YEAR(SalesTbl[[#This Row],[Order Date]])</f>
        <v>2024</v>
      </c>
    </row>
    <row r="149" spans="1:11">
      <c r="A149" t="s">
        <v>157</v>
      </c>
      <c r="B149" s="1">
        <v>45542</v>
      </c>
      <c r="C149" t="s">
        <v>455</v>
      </c>
      <c r="D149" t="s">
        <v>558</v>
      </c>
      <c r="E149" t="s">
        <v>561</v>
      </c>
      <c r="F149" t="s">
        <v>582</v>
      </c>
      <c r="G149">
        <v>2</v>
      </c>
      <c r="H149">
        <v>48258.95</v>
      </c>
      <c r="I149">
        <v>96517.9</v>
      </c>
      <c r="J149">
        <v>23364.94</v>
      </c>
      <c r="K149">
        <f>YEAR(SalesTbl[[#This Row],[Order Date]])</f>
        <v>2024</v>
      </c>
    </row>
    <row r="150" spans="1:11">
      <c r="A150" t="s">
        <v>158</v>
      </c>
      <c r="B150" s="1">
        <v>45543</v>
      </c>
      <c r="C150" t="s">
        <v>402</v>
      </c>
      <c r="D150" t="s">
        <v>557</v>
      </c>
      <c r="E150" t="s">
        <v>562</v>
      </c>
      <c r="F150" t="s">
        <v>565</v>
      </c>
      <c r="G150">
        <v>6</v>
      </c>
      <c r="H150">
        <v>8889.81</v>
      </c>
      <c r="I150">
        <v>53338.86</v>
      </c>
      <c r="J150">
        <v>8027.95</v>
      </c>
      <c r="K150">
        <f>YEAR(SalesTbl[[#This Row],[Order Date]])</f>
        <v>2024</v>
      </c>
    </row>
    <row r="151" spans="1:11">
      <c r="A151" t="s">
        <v>159</v>
      </c>
      <c r="B151" s="1">
        <v>45543</v>
      </c>
      <c r="C151" t="s">
        <v>456</v>
      </c>
      <c r="D151" t="s">
        <v>558</v>
      </c>
      <c r="E151" t="s">
        <v>563</v>
      </c>
      <c r="F151" t="s">
        <v>568</v>
      </c>
      <c r="G151">
        <v>8</v>
      </c>
      <c r="H151">
        <v>228.65</v>
      </c>
      <c r="I151">
        <v>1829.2</v>
      </c>
      <c r="J151">
        <v>591.88</v>
      </c>
      <c r="K151">
        <f>YEAR(SalesTbl[[#This Row],[Order Date]])</f>
        <v>2024</v>
      </c>
    </row>
    <row r="152" spans="1:11">
      <c r="A152" t="s">
        <v>160</v>
      </c>
      <c r="B152" s="1">
        <v>45544</v>
      </c>
      <c r="C152" t="s">
        <v>357</v>
      </c>
      <c r="D152" t="s">
        <v>560</v>
      </c>
      <c r="E152" t="s">
        <v>561</v>
      </c>
      <c r="F152" t="s">
        <v>574</v>
      </c>
      <c r="G152">
        <v>7</v>
      </c>
      <c r="H152">
        <v>21918.26</v>
      </c>
      <c r="I152">
        <v>153427.82</v>
      </c>
      <c r="J152">
        <v>23766.23</v>
      </c>
      <c r="K152">
        <f>YEAR(SalesTbl[[#This Row],[Order Date]])</f>
        <v>2024</v>
      </c>
    </row>
    <row r="153" spans="1:11">
      <c r="A153" t="s">
        <v>161</v>
      </c>
      <c r="B153" s="1">
        <v>45547</v>
      </c>
      <c r="C153" t="s">
        <v>457</v>
      </c>
      <c r="D153" t="s">
        <v>559</v>
      </c>
      <c r="E153" t="s">
        <v>563</v>
      </c>
      <c r="F153" t="s">
        <v>573</v>
      </c>
      <c r="G153">
        <v>9</v>
      </c>
      <c r="H153">
        <v>2345.59</v>
      </c>
      <c r="I153">
        <v>21110.31</v>
      </c>
      <c r="J153">
        <v>5300.83</v>
      </c>
      <c r="K153">
        <f>YEAR(SalesTbl[[#This Row],[Order Date]])</f>
        <v>2024</v>
      </c>
    </row>
    <row r="154" spans="1:11">
      <c r="A154" t="s">
        <v>162</v>
      </c>
      <c r="B154" s="1">
        <v>45548</v>
      </c>
      <c r="C154" t="s">
        <v>447</v>
      </c>
      <c r="D154" t="s">
        <v>558</v>
      </c>
      <c r="E154" t="s">
        <v>563</v>
      </c>
      <c r="F154" t="s">
        <v>566</v>
      </c>
      <c r="G154">
        <v>3</v>
      </c>
      <c r="H154">
        <v>383.84</v>
      </c>
      <c r="I154">
        <v>1151.52</v>
      </c>
      <c r="J154">
        <v>243.4</v>
      </c>
      <c r="K154">
        <f>YEAR(SalesTbl[[#This Row],[Order Date]])</f>
        <v>2024</v>
      </c>
    </row>
    <row r="155" spans="1:11">
      <c r="A155" t="s">
        <v>163</v>
      </c>
      <c r="B155" s="1">
        <v>45549</v>
      </c>
      <c r="C155" t="s">
        <v>360</v>
      </c>
      <c r="D155" t="s">
        <v>557</v>
      </c>
      <c r="E155" t="s">
        <v>563</v>
      </c>
      <c r="F155" t="s">
        <v>568</v>
      </c>
      <c r="G155">
        <v>4</v>
      </c>
      <c r="H155">
        <v>154.72</v>
      </c>
      <c r="I155">
        <v>618.88</v>
      </c>
      <c r="J155">
        <v>171.94</v>
      </c>
      <c r="K155">
        <f>YEAR(SalesTbl[[#This Row],[Order Date]])</f>
        <v>2024</v>
      </c>
    </row>
    <row r="156" spans="1:11">
      <c r="A156" t="s">
        <v>164</v>
      </c>
      <c r="B156" s="1">
        <v>45550</v>
      </c>
      <c r="C156" t="s">
        <v>458</v>
      </c>
      <c r="D156" t="s">
        <v>558</v>
      </c>
      <c r="E156" t="s">
        <v>562</v>
      </c>
      <c r="F156" t="s">
        <v>572</v>
      </c>
      <c r="G156">
        <v>9</v>
      </c>
      <c r="H156">
        <v>81252.479999999996</v>
      </c>
      <c r="I156">
        <v>731272.32</v>
      </c>
      <c r="J156">
        <v>125431.8</v>
      </c>
      <c r="K156">
        <f>YEAR(SalesTbl[[#This Row],[Order Date]])</f>
        <v>2024</v>
      </c>
    </row>
    <row r="157" spans="1:11">
      <c r="A157" t="s">
        <v>165</v>
      </c>
      <c r="B157" s="1">
        <v>45550</v>
      </c>
      <c r="C157" t="s">
        <v>459</v>
      </c>
      <c r="D157" t="s">
        <v>557</v>
      </c>
      <c r="E157" t="s">
        <v>562</v>
      </c>
      <c r="F157" t="s">
        <v>577</v>
      </c>
      <c r="G157">
        <v>2</v>
      </c>
      <c r="H157">
        <v>6086.38</v>
      </c>
      <c r="I157">
        <v>12172.76</v>
      </c>
      <c r="J157">
        <v>1526.79</v>
      </c>
      <c r="K157">
        <f>YEAR(SalesTbl[[#This Row],[Order Date]])</f>
        <v>2024</v>
      </c>
    </row>
    <row r="158" spans="1:11">
      <c r="A158" t="s">
        <v>166</v>
      </c>
      <c r="B158" s="1">
        <v>45552</v>
      </c>
      <c r="C158" t="s">
        <v>460</v>
      </c>
      <c r="D158" t="s">
        <v>558</v>
      </c>
      <c r="E158" t="s">
        <v>561</v>
      </c>
      <c r="F158" t="s">
        <v>571</v>
      </c>
      <c r="G158">
        <v>9</v>
      </c>
      <c r="H158">
        <v>19771.34</v>
      </c>
      <c r="I158">
        <v>177942.06</v>
      </c>
      <c r="J158">
        <v>31441.73</v>
      </c>
      <c r="K158">
        <f>YEAR(SalesTbl[[#This Row],[Order Date]])</f>
        <v>2024</v>
      </c>
    </row>
    <row r="159" spans="1:11">
      <c r="A159" t="s">
        <v>167</v>
      </c>
      <c r="B159" s="1">
        <v>45552</v>
      </c>
      <c r="C159" t="s">
        <v>461</v>
      </c>
      <c r="D159" t="s">
        <v>559</v>
      </c>
      <c r="E159" t="s">
        <v>561</v>
      </c>
      <c r="F159" t="s">
        <v>581</v>
      </c>
      <c r="G159">
        <v>2</v>
      </c>
      <c r="H159">
        <v>4609.57</v>
      </c>
      <c r="I159">
        <v>9219.14</v>
      </c>
      <c r="J159">
        <v>1492.63</v>
      </c>
      <c r="K159">
        <f>YEAR(SalesTbl[[#This Row],[Order Date]])</f>
        <v>2024</v>
      </c>
    </row>
    <row r="160" spans="1:11">
      <c r="A160" t="s">
        <v>168</v>
      </c>
      <c r="B160" s="1">
        <v>45555</v>
      </c>
      <c r="C160" t="s">
        <v>462</v>
      </c>
      <c r="D160" t="s">
        <v>558</v>
      </c>
      <c r="E160" t="s">
        <v>562</v>
      </c>
      <c r="F160" t="s">
        <v>572</v>
      </c>
      <c r="G160">
        <v>7</v>
      </c>
      <c r="H160">
        <v>77768.03</v>
      </c>
      <c r="I160">
        <v>544376.21</v>
      </c>
      <c r="J160">
        <v>84555.03</v>
      </c>
      <c r="K160">
        <f>YEAR(SalesTbl[[#This Row],[Order Date]])</f>
        <v>2024</v>
      </c>
    </row>
    <row r="161" spans="1:11">
      <c r="A161" t="s">
        <v>169</v>
      </c>
      <c r="B161" s="1">
        <v>45555</v>
      </c>
      <c r="C161" t="s">
        <v>422</v>
      </c>
      <c r="D161" t="s">
        <v>560</v>
      </c>
      <c r="E161" t="s">
        <v>563</v>
      </c>
      <c r="F161" t="s">
        <v>567</v>
      </c>
      <c r="G161">
        <v>8</v>
      </c>
      <c r="H161">
        <v>442.79</v>
      </c>
      <c r="I161">
        <v>3542.32</v>
      </c>
      <c r="J161">
        <v>1072.56</v>
      </c>
      <c r="K161">
        <f>YEAR(SalesTbl[[#This Row],[Order Date]])</f>
        <v>2024</v>
      </c>
    </row>
    <row r="162" spans="1:11">
      <c r="A162" t="s">
        <v>170</v>
      </c>
      <c r="B162" s="1">
        <v>45559</v>
      </c>
      <c r="C162" t="s">
        <v>463</v>
      </c>
      <c r="D162" t="s">
        <v>560</v>
      </c>
      <c r="E162" t="s">
        <v>562</v>
      </c>
      <c r="F162" t="s">
        <v>565</v>
      </c>
      <c r="G162">
        <v>1</v>
      </c>
      <c r="H162">
        <v>35670.080000000002</v>
      </c>
      <c r="I162">
        <v>35670.080000000002</v>
      </c>
      <c r="J162">
        <v>5177.46</v>
      </c>
      <c r="K162">
        <f>YEAR(SalesTbl[[#This Row],[Order Date]])</f>
        <v>2024</v>
      </c>
    </row>
    <row r="163" spans="1:11">
      <c r="A163" t="s">
        <v>171</v>
      </c>
      <c r="B163" s="1">
        <v>45560</v>
      </c>
      <c r="C163" t="s">
        <v>464</v>
      </c>
      <c r="D163" t="s">
        <v>558</v>
      </c>
      <c r="E163" t="s">
        <v>561</v>
      </c>
      <c r="F163" t="s">
        <v>574</v>
      </c>
      <c r="G163">
        <v>10</v>
      </c>
      <c r="H163">
        <v>53361.08</v>
      </c>
      <c r="I163">
        <v>533610.80000000005</v>
      </c>
      <c r="J163">
        <v>86436.59</v>
      </c>
      <c r="K163">
        <f>YEAR(SalesTbl[[#This Row],[Order Date]])</f>
        <v>2024</v>
      </c>
    </row>
    <row r="164" spans="1:11">
      <c r="A164" t="s">
        <v>172</v>
      </c>
      <c r="B164" s="1">
        <v>45563</v>
      </c>
      <c r="C164" t="s">
        <v>465</v>
      </c>
      <c r="D164" t="s">
        <v>560</v>
      </c>
      <c r="E164" t="s">
        <v>562</v>
      </c>
      <c r="F164" t="s">
        <v>576</v>
      </c>
      <c r="G164">
        <v>5</v>
      </c>
      <c r="H164">
        <v>47227.62</v>
      </c>
      <c r="I164">
        <v>236138.1</v>
      </c>
      <c r="J164">
        <v>33336.11</v>
      </c>
      <c r="K164">
        <f>YEAR(SalesTbl[[#This Row],[Order Date]])</f>
        <v>2024</v>
      </c>
    </row>
    <row r="165" spans="1:11">
      <c r="A165" t="s">
        <v>173</v>
      </c>
      <c r="B165" s="1">
        <v>45564</v>
      </c>
      <c r="C165" t="s">
        <v>466</v>
      </c>
      <c r="D165" t="s">
        <v>557</v>
      </c>
      <c r="E165" t="s">
        <v>562</v>
      </c>
      <c r="F165" t="s">
        <v>572</v>
      </c>
      <c r="G165">
        <v>4</v>
      </c>
      <c r="H165">
        <v>48787.98</v>
      </c>
      <c r="I165">
        <v>195151.92</v>
      </c>
      <c r="J165">
        <v>31740.63</v>
      </c>
      <c r="K165">
        <f>YEAR(SalesTbl[[#This Row],[Order Date]])</f>
        <v>2024</v>
      </c>
    </row>
    <row r="166" spans="1:11">
      <c r="A166" t="s">
        <v>174</v>
      </c>
      <c r="B166" s="1">
        <v>45566</v>
      </c>
      <c r="C166" t="s">
        <v>467</v>
      </c>
      <c r="D166" t="s">
        <v>557</v>
      </c>
      <c r="E166" t="s">
        <v>561</v>
      </c>
      <c r="F166" t="s">
        <v>580</v>
      </c>
      <c r="G166">
        <v>1</v>
      </c>
      <c r="H166">
        <v>18125.29</v>
      </c>
      <c r="I166">
        <v>18125.29</v>
      </c>
      <c r="J166">
        <v>2497.42</v>
      </c>
      <c r="K166">
        <f>YEAR(SalesTbl[[#This Row],[Order Date]])</f>
        <v>2024</v>
      </c>
    </row>
    <row r="167" spans="1:11">
      <c r="A167" t="s">
        <v>175</v>
      </c>
      <c r="B167" s="1">
        <v>45568</v>
      </c>
      <c r="C167" t="s">
        <v>468</v>
      </c>
      <c r="D167" t="s">
        <v>559</v>
      </c>
      <c r="E167" t="s">
        <v>563</v>
      </c>
      <c r="F167" t="s">
        <v>570</v>
      </c>
      <c r="G167">
        <v>10</v>
      </c>
      <c r="H167">
        <v>2489.0500000000002</v>
      </c>
      <c r="I167">
        <v>24890.5</v>
      </c>
      <c r="J167">
        <v>6700.74</v>
      </c>
      <c r="K167">
        <f>YEAR(SalesTbl[[#This Row],[Order Date]])</f>
        <v>2024</v>
      </c>
    </row>
    <row r="168" spans="1:11">
      <c r="A168" t="s">
        <v>176</v>
      </c>
      <c r="B168" s="1">
        <v>45573</v>
      </c>
      <c r="C168" t="s">
        <v>469</v>
      </c>
      <c r="D168" t="s">
        <v>559</v>
      </c>
      <c r="E168" t="s">
        <v>561</v>
      </c>
      <c r="F168" t="s">
        <v>582</v>
      </c>
      <c r="G168">
        <v>6</v>
      </c>
      <c r="H168">
        <v>21691.93</v>
      </c>
      <c r="I168">
        <v>130151.58</v>
      </c>
      <c r="J168">
        <v>29647.4</v>
      </c>
      <c r="K168">
        <f>YEAR(SalesTbl[[#This Row],[Order Date]])</f>
        <v>2024</v>
      </c>
    </row>
    <row r="169" spans="1:11">
      <c r="A169" t="s">
        <v>177</v>
      </c>
      <c r="B169" s="1">
        <v>45574</v>
      </c>
      <c r="C169" t="s">
        <v>440</v>
      </c>
      <c r="D169" t="s">
        <v>557</v>
      </c>
      <c r="E169" t="s">
        <v>563</v>
      </c>
      <c r="F169" t="s">
        <v>573</v>
      </c>
      <c r="G169">
        <v>10</v>
      </c>
      <c r="H169">
        <v>1415.5</v>
      </c>
      <c r="I169">
        <v>14155</v>
      </c>
      <c r="J169">
        <v>3372.13</v>
      </c>
      <c r="K169">
        <f>YEAR(SalesTbl[[#This Row],[Order Date]])</f>
        <v>2024</v>
      </c>
    </row>
    <row r="170" spans="1:11">
      <c r="A170" t="s">
        <v>178</v>
      </c>
      <c r="B170" s="1">
        <v>45577</v>
      </c>
      <c r="C170" t="s">
        <v>367</v>
      </c>
      <c r="D170" t="s">
        <v>558</v>
      </c>
      <c r="E170" t="s">
        <v>563</v>
      </c>
      <c r="F170" t="s">
        <v>573</v>
      </c>
      <c r="G170">
        <v>3</v>
      </c>
      <c r="H170">
        <v>3354.43</v>
      </c>
      <c r="I170">
        <v>10063.290000000001</v>
      </c>
      <c r="J170">
        <v>1923.8</v>
      </c>
      <c r="K170">
        <f>YEAR(SalesTbl[[#This Row],[Order Date]])</f>
        <v>2024</v>
      </c>
    </row>
    <row r="171" spans="1:11">
      <c r="A171" t="s">
        <v>179</v>
      </c>
      <c r="B171" s="1">
        <v>45580</v>
      </c>
      <c r="C171" t="s">
        <v>470</v>
      </c>
      <c r="D171" t="s">
        <v>557</v>
      </c>
      <c r="E171" t="s">
        <v>561</v>
      </c>
      <c r="F171" t="s">
        <v>564</v>
      </c>
      <c r="G171">
        <v>3</v>
      </c>
      <c r="H171">
        <v>48470.29</v>
      </c>
      <c r="I171">
        <v>145410.87</v>
      </c>
      <c r="J171">
        <v>33860.51</v>
      </c>
      <c r="K171">
        <f>YEAR(SalesTbl[[#This Row],[Order Date]])</f>
        <v>2024</v>
      </c>
    </row>
    <row r="172" spans="1:11">
      <c r="A172" t="s">
        <v>180</v>
      </c>
      <c r="B172" s="1">
        <v>45580</v>
      </c>
      <c r="C172" t="s">
        <v>471</v>
      </c>
      <c r="D172" t="s">
        <v>558</v>
      </c>
      <c r="E172" t="s">
        <v>561</v>
      </c>
      <c r="F172" t="s">
        <v>580</v>
      </c>
      <c r="G172">
        <v>5</v>
      </c>
      <c r="H172">
        <v>26199.45</v>
      </c>
      <c r="I172">
        <v>130997.25</v>
      </c>
      <c r="J172">
        <v>22506.06</v>
      </c>
      <c r="K172">
        <f>YEAR(SalesTbl[[#This Row],[Order Date]])</f>
        <v>2024</v>
      </c>
    </row>
    <row r="173" spans="1:11">
      <c r="A173" t="s">
        <v>181</v>
      </c>
      <c r="B173" s="1">
        <v>45583</v>
      </c>
      <c r="C173" t="s">
        <v>472</v>
      </c>
      <c r="D173" t="s">
        <v>557</v>
      </c>
      <c r="E173" t="s">
        <v>561</v>
      </c>
      <c r="F173" t="s">
        <v>581</v>
      </c>
      <c r="G173">
        <v>5</v>
      </c>
      <c r="H173">
        <v>42679.040000000001</v>
      </c>
      <c r="I173">
        <v>213395.20000000001</v>
      </c>
      <c r="J173">
        <v>48829.15</v>
      </c>
      <c r="K173">
        <f>YEAR(SalesTbl[[#This Row],[Order Date]])</f>
        <v>2024</v>
      </c>
    </row>
    <row r="174" spans="1:11">
      <c r="A174" t="s">
        <v>182</v>
      </c>
      <c r="B174" s="1">
        <v>45584</v>
      </c>
      <c r="C174" t="s">
        <v>473</v>
      </c>
      <c r="D174" t="s">
        <v>557</v>
      </c>
      <c r="E174" t="s">
        <v>563</v>
      </c>
      <c r="F174" t="s">
        <v>568</v>
      </c>
      <c r="G174">
        <v>1</v>
      </c>
      <c r="H174">
        <v>216.27</v>
      </c>
      <c r="I174">
        <v>216.27</v>
      </c>
      <c r="J174">
        <v>72.400000000000006</v>
      </c>
      <c r="K174">
        <f>YEAR(SalesTbl[[#This Row],[Order Date]])</f>
        <v>2024</v>
      </c>
    </row>
    <row r="175" spans="1:11">
      <c r="A175" t="s">
        <v>183</v>
      </c>
      <c r="B175" s="1">
        <v>45586</v>
      </c>
      <c r="C175" t="s">
        <v>357</v>
      </c>
      <c r="D175" t="s">
        <v>557</v>
      </c>
      <c r="E175" t="s">
        <v>561</v>
      </c>
      <c r="F175" t="s">
        <v>574</v>
      </c>
      <c r="G175">
        <v>3</v>
      </c>
      <c r="H175">
        <v>39601.5</v>
      </c>
      <c r="I175">
        <v>118804.5</v>
      </c>
      <c r="J175">
        <v>23895.53</v>
      </c>
      <c r="K175">
        <f>YEAR(SalesTbl[[#This Row],[Order Date]])</f>
        <v>2024</v>
      </c>
    </row>
    <row r="176" spans="1:11">
      <c r="A176" t="s">
        <v>184</v>
      </c>
      <c r="B176" s="1">
        <v>45587</v>
      </c>
      <c r="C176" t="s">
        <v>474</v>
      </c>
      <c r="D176" t="s">
        <v>558</v>
      </c>
      <c r="E176" t="s">
        <v>563</v>
      </c>
      <c r="F176" t="s">
        <v>570</v>
      </c>
      <c r="G176">
        <v>8</v>
      </c>
      <c r="H176">
        <v>2900.31</v>
      </c>
      <c r="I176">
        <v>23202.48</v>
      </c>
      <c r="J176">
        <v>7442.19</v>
      </c>
      <c r="K176">
        <f>YEAR(SalesTbl[[#This Row],[Order Date]])</f>
        <v>2024</v>
      </c>
    </row>
    <row r="177" spans="1:11">
      <c r="A177" t="s">
        <v>185</v>
      </c>
      <c r="B177" s="1">
        <v>45594</v>
      </c>
      <c r="C177" t="s">
        <v>475</v>
      </c>
      <c r="D177" t="s">
        <v>559</v>
      </c>
      <c r="E177" t="s">
        <v>563</v>
      </c>
      <c r="F177" t="s">
        <v>567</v>
      </c>
      <c r="G177">
        <v>6</v>
      </c>
      <c r="H177">
        <v>1513.36</v>
      </c>
      <c r="I177">
        <v>9080.16</v>
      </c>
      <c r="J177">
        <v>1998.9</v>
      </c>
      <c r="K177">
        <f>YEAR(SalesTbl[[#This Row],[Order Date]])</f>
        <v>2024</v>
      </c>
    </row>
    <row r="178" spans="1:11">
      <c r="A178" t="s">
        <v>186</v>
      </c>
      <c r="B178" s="1">
        <v>45597</v>
      </c>
      <c r="C178" t="s">
        <v>476</v>
      </c>
      <c r="D178" t="s">
        <v>558</v>
      </c>
      <c r="E178" t="s">
        <v>561</v>
      </c>
      <c r="F178" t="s">
        <v>571</v>
      </c>
      <c r="G178">
        <v>3</v>
      </c>
      <c r="H178">
        <v>32937.57</v>
      </c>
      <c r="I178">
        <v>98812.71</v>
      </c>
      <c r="J178">
        <v>23472.03</v>
      </c>
      <c r="K178">
        <f>YEAR(SalesTbl[[#This Row],[Order Date]])</f>
        <v>2024</v>
      </c>
    </row>
    <row r="179" spans="1:11">
      <c r="A179" t="s">
        <v>187</v>
      </c>
      <c r="B179" s="1">
        <v>45597</v>
      </c>
      <c r="C179" t="s">
        <v>447</v>
      </c>
      <c r="D179" t="s">
        <v>559</v>
      </c>
      <c r="E179" t="s">
        <v>563</v>
      </c>
      <c r="F179" t="s">
        <v>570</v>
      </c>
      <c r="G179">
        <v>6</v>
      </c>
      <c r="H179">
        <v>3416.12</v>
      </c>
      <c r="I179">
        <v>20496.72</v>
      </c>
      <c r="J179">
        <v>7062.26</v>
      </c>
      <c r="K179">
        <f>YEAR(SalesTbl[[#This Row],[Order Date]])</f>
        <v>2024</v>
      </c>
    </row>
    <row r="180" spans="1:11">
      <c r="A180" t="s">
        <v>188</v>
      </c>
      <c r="B180" s="1">
        <v>45599</v>
      </c>
      <c r="C180" t="s">
        <v>477</v>
      </c>
      <c r="D180" t="s">
        <v>560</v>
      </c>
      <c r="E180" t="s">
        <v>561</v>
      </c>
      <c r="F180" t="s">
        <v>581</v>
      </c>
      <c r="G180">
        <v>1</v>
      </c>
      <c r="H180">
        <v>30652.61</v>
      </c>
      <c r="I180">
        <v>30652.61</v>
      </c>
      <c r="J180">
        <v>6801.04</v>
      </c>
      <c r="K180">
        <f>YEAR(SalesTbl[[#This Row],[Order Date]])</f>
        <v>2024</v>
      </c>
    </row>
    <row r="181" spans="1:11">
      <c r="A181" t="s">
        <v>189</v>
      </c>
      <c r="B181" s="1">
        <v>45600</v>
      </c>
      <c r="C181" t="s">
        <v>478</v>
      </c>
      <c r="D181" t="s">
        <v>559</v>
      </c>
      <c r="E181" t="s">
        <v>562</v>
      </c>
      <c r="F181" t="s">
        <v>575</v>
      </c>
      <c r="G181">
        <v>6</v>
      </c>
      <c r="H181">
        <v>87337.02</v>
      </c>
      <c r="I181">
        <v>524022.12</v>
      </c>
      <c r="J181">
        <v>41962.58</v>
      </c>
      <c r="K181">
        <f>YEAR(SalesTbl[[#This Row],[Order Date]])</f>
        <v>2024</v>
      </c>
    </row>
    <row r="182" spans="1:11">
      <c r="A182" t="s">
        <v>190</v>
      </c>
      <c r="B182" s="1">
        <v>45600</v>
      </c>
      <c r="C182" t="s">
        <v>479</v>
      </c>
      <c r="D182" t="s">
        <v>557</v>
      </c>
      <c r="E182" t="s">
        <v>563</v>
      </c>
      <c r="F182" t="s">
        <v>566</v>
      </c>
      <c r="G182">
        <v>4</v>
      </c>
      <c r="H182">
        <v>1374.03</v>
      </c>
      <c r="I182">
        <v>5496.12</v>
      </c>
      <c r="J182">
        <v>1725.37</v>
      </c>
      <c r="K182">
        <f>YEAR(SalesTbl[[#This Row],[Order Date]])</f>
        <v>2024</v>
      </c>
    </row>
    <row r="183" spans="1:11">
      <c r="A183" t="s">
        <v>191</v>
      </c>
      <c r="B183" s="1">
        <v>45606</v>
      </c>
      <c r="C183" t="s">
        <v>421</v>
      </c>
      <c r="D183" t="s">
        <v>558</v>
      </c>
      <c r="E183" t="s">
        <v>561</v>
      </c>
      <c r="F183" t="s">
        <v>581</v>
      </c>
      <c r="G183">
        <v>5</v>
      </c>
      <c r="H183">
        <v>54274.52</v>
      </c>
      <c r="I183">
        <v>271372.59999999998</v>
      </c>
      <c r="J183">
        <v>65503.9</v>
      </c>
      <c r="K183">
        <f>YEAR(SalesTbl[[#This Row],[Order Date]])</f>
        <v>2024</v>
      </c>
    </row>
    <row r="184" spans="1:11">
      <c r="A184" t="s">
        <v>192</v>
      </c>
      <c r="B184" s="1">
        <v>45607</v>
      </c>
      <c r="C184" t="s">
        <v>357</v>
      </c>
      <c r="D184" t="s">
        <v>560</v>
      </c>
      <c r="E184" t="s">
        <v>562</v>
      </c>
      <c r="F184" t="s">
        <v>578</v>
      </c>
      <c r="G184">
        <v>10</v>
      </c>
      <c r="H184">
        <v>51351.01</v>
      </c>
      <c r="I184">
        <v>513510.1</v>
      </c>
      <c r="J184">
        <v>56723.03</v>
      </c>
      <c r="K184">
        <f>YEAR(SalesTbl[[#This Row],[Order Date]])</f>
        <v>2024</v>
      </c>
    </row>
    <row r="185" spans="1:11">
      <c r="A185" t="s">
        <v>193</v>
      </c>
      <c r="B185" s="1">
        <v>45609</v>
      </c>
      <c r="C185" t="s">
        <v>480</v>
      </c>
      <c r="D185" t="s">
        <v>558</v>
      </c>
      <c r="E185" t="s">
        <v>563</v>
      </c>
      <c r="F185" t="s">
        <v>570</v>
      </c>
      <c r="G185">
        <v>1</v>
      </c>
      <c r="H185">
        <v>860.3</v>
      </c>
      <c r="I185">
        <v>860.3</v>
      </c>
      <c r="J185">
        <v>160.19999999999999</v>
      </c>
      <c r="K185">
        <f>YEAR(SalesTbl[[#This Row],[Order Date]])</f>
        <v>2024</v>
      </c>
    </row>
    <row r="186" spans="1:11">
      <c r="A186" t="s">
        <v>194</v>
      </c>
      <c r="B186" s="1">
        <v>45609</v>
      </c>
      <c r="C186" t="s">
        <v>481</v>
      </c>
      <c r="D186" t="s">
        <v>558</v>
      </c>
      <c r="E186" t="s">
        <v>563</v>
      </c>
      <c r="F186" t="s">
        <v>567</v>
      </c>
      <c r="G186">
        <v>3</v>
      </c>
      <c r="H186">
        <v>3834.77</v>
      </c>
      <c r="I186">
        <v>11504.31</v>
      </c>
      <c r="J186">
        <v>3502.81</v>
      </c>
      <c r="K186">
        <f>YEAR(SalesTbl[[#This Row],[Order Date]])</f>
        <v>2024</v>
      </c>
    </row>
    <row r="187" spans="1:11">
      <c r="A187" t="s">
        <v>195</v>
      </c>
      <c r="B187" s="1">
        <v>45611</v>
      </c>
      <c r="C187" t="s">
        <v>482</v>
      </c>
      <c r="D187" t="s">
        <v>560</v>
      </c>
      <c r="E187" t="s">
        <v>563</v>
      </c>
      <c r="F187" t="s">
        <v>567</v>
      </c>
      <c r="G187">
        <v>4</v>
      </c>
      <c r="H187">
        <v>394.8</v>
      </c>
      <c r="I187">
        <v>1579.2</v>
      </c>
      <c r="J187">
        <v>370.34</v>
      </c>
      <c r="K187">
        <f>YEAR(SalesTbl[[#This Row],[Order Date]])</f>
        <v>2024</v>
      </c>
    </row>
    <row r="188" spans="1:11">
      <c r="A188" t="s">
        <v>196</v>
      </c>
      <c r="B188" s="1">
        <v>45614</v>
      </c>
      <c r="C188" t="s">
        <v>483</v>
      </c>
      <c r="D188" t="s">
        <v>560</v>
      </c>
      <c r="E188" t="s">
        <v>563</v>
      </c>
      <c r="F188" t="s">
        <v>568</v>
      </c>
      <c r="G188">
        <v>9</v>
      </c>
      <c r="H188">
        <v>719.5</v>
      </c>
      <c r="I188">
        <v>6475.5</v>
      </c>
      <c r="J188">
        <v>1600.08</v>
      </c>
      <c r="K188">
        <f>YEAR(SalesTbl[[#This Row],[Order Date]])</f>
        <v>2024</v>
      </c>
    </row>
    <row r="189" spans="1:11">
      <c r="A189" t="s">
        <v>197</v>
      </c>
      <c r="B189" s="1">
        <v>45615</v>
      </c>
      <c r="C189" t="s">
        <v>484</v>
      </c>
      <c r="D189" t="s">
        <v>557</v>
      </c>
      <c r="E189" t="s">
        <v>562</v>
      </c>
      <c r="F189" t="s">
        <v>578</v>
      </c>
      <c r="G189">
        <v>2</v>
      </c>
      <c r="H189">
        <v>65419.35</v>
      </c>
      <c r="I189">
        <v>130838.7</v>
      </c>
      <c r="J189">
        <v>10626.76</v>
      </c>
      <c r="K189">
        <f>YEAR(SalesTbl[[#This Row],[Order Date]])</f>
        <v>2024</v>
      </c>
    </row>
    <row r="190" spans="1:11">
      <c r="A190" t="s">
        <v>198</v>
      </c>
      <c r="B190" s="1">
        <v>45616</v>
      </c>
      <c r="C190" t="s">
        <v>337</v>
      </c>
      <c r="D190" t="s">
        <v>560</v>
      </c>
      <c r="E190" t="s">
        <v>563</v>
      </c>
      <c r="F190" t="s">
        <v>570</v>
      </c>
      <c r="G190">
        <v>8</v>
      </c>
      <c r="H190">
        <v>2751.66</v>
      </c>
      <c r="I190">
        <v>22013.279999999999</v>
      </c>
      <c r="J190">
        <v>7494.68</v>
      </c>
      <c r="K190">
        <f>YEAR(SalesTbl[[#This Row],[Order Date]])</f>
        <v>2024</v>
      </c>
    </row>
    <row r="191" spans="1:11">
      <c r="A191" t="s">
        <v>199</v>
      </c>
      <c r="B191" s="1">
        <v>45621</v>
      </c>
      <c r="C191" t="s">
        <v>485</v>
      </c>
      <c r="D191" t="s">
        <v>557</v>
      </c>
      <c r="E191" t="s">
        <v>561</v>
      </c>
      <c r="F191" t="s">
        <v>571</v>
      </c>
      <c r="G191">
        <v>1</v>
      </c>
      <c r="H191">
        <v>38352.14</v>
      </c>
      <c r="I191">
        <v>38352.14</v>
      </c>
      <c r="J191">
        <v>5525.29</v>
      </c>
      <c r="K191">
        <f>YEAR(SalesTbl[[#This Row],[Order Date]])</f>
        <v>2024</v>
      </c>
    </row>
    <row r="192" spans="1:11">
      <c r="A192" t="s">
        <v>200</v>
      </c>
      <c r="B192" s="1">
        <v>45621</v>
      </c>
      <c r="C192" t="s">
        <v>455</v>
      </c>
      <c r="D192" t="s">
        <v>557</v>
      </c>
      <c r="E192" t="s">
        <v>562</v>
      </c>
      <c r="F192" t="s">
        <v>572</v>
      </c>
      <c r="G192">
        <v>9</v>
      </c>
      <c r="H192">
        <v>5654.66</v>
      </c>
      <c r="I192">
        <v>50891.94</v>
      </c>
      <c r="J192">
        <v>5193.45</v>
      </c>
      <c r="K192">
        <f>YEAR(SalesTbl[[#This Row],[Order Date]])</f>
        <v>2024</v>
      </c>
    </row>
    <row r="193" spans="1:11">
      <c r="A193" t="s">
        <v>201</v>
      </c>
      <c r="B193" s="1">
        <v>45621</v>
      </c>
      <c r="C193" t="s">
        <v>366</v>
      </c>
      <c r="D193" t="s">
        <v>558</v>
      </c>
      <c r="E193" t="s">
        <v>562</v>
      </c>
      <c r="F193" t="s">
        <v>575</v>
      </c>
      <c r="G193">
        <v>8</v>
      </c>
      <c r="H193">
        <v>85611.42</v>
      </c>
      <c r="I193">
        <v>684891.36</v>
      </c>
      <c r="J193">
        <v>81811.77</v>
      </c>
      <c r="K193">
        <f>YEAR(SalesTbl[[#This Row],[Order Date]])</f>
        <v>2024</v>
      </c>
    </row>
    <row r="194" spans="1:11">
      <c r="A194" t="s">
        <v>202</v>
      </c>
      <c r="B194" s="1">
        <v>45622</v>
      </c>
      <c r="C194" t="s">
        <v>486</v>
      </c>
      <c r="D194" t="s">
        <v>559</v>
      </c>
      <c r="E194" t="s">
        <v>561</v>
      </c>
      <c r="F194" t="s">
        <v>582</v>
      </c>
      <c r="G194">
        <v>7</v>
      </c>
      <c r="H194">
        <v>18649.759999999998</v>
      </c>
      <c r="I194">
        <v>130548.32</v>
      </c>
      <c r="J194">
        <v>30873.62</v>
      </c>
      <c r="K194">
        <f>YEAR(SalesTbl[[#This Row],[Order Date]])</f>
        <v>2024</v>
      </c>
    </row>
    <row r="195" spans="1:11">
      <c r="A195" t="s">
        <v>203</v>
      </c>
      <c r="B195" s="1">
        <v>45623</v>
      </c>
      <c r="C195" t="s">
        <v>487</v>
      </c>
      <c r="D195" t="s">
        <v>559</v>
      </c>
      <c r="E195" t="s">
        <v>562</v>
      </c>
      <c r="F195" t="s">
        <v>577</v>
      </c>
      <c r="G195">
        <v>8</v>
      </c>
      <c r="H195">
        <v>4634.88</v>
      </c>
      <c r="I195">
        <v>37079.040000000001</v>
      </c>
      <c r="J195">
        <v>6420.57</v>
      </c>
      <c r="K195">
        <f>YEAR(SalesTbl[[#This Row],[Order Date]])</f>
        <v>2024</v>
      </c>
    </row>
    <row r="196" spans="1:11">
      <c r="A196" t="s">
        <v>204</v>
      </c>
      <c r="B196" s="1">
        <v>45629</v>
      </c>
      <c r="C196" t="s">
        <v>488</v>
      </c>
      <c r="D196" t="s">
        <v>558</v>
      </c>
      <c r="E196" t="s">
        <v>562</v>
      </c>
      <c r="F196" t="s">
        <v>577</v>
      </c>
      <c r="G196">
        <v>3</v>
      </c>
      <c r="H196">
        <v>44476.82</v>
      </c>
      <c r="I196">
        <v>133430.46</v>
      </c>
      <c r="J196">
        <v>19373.59</v>
      </c>
      <c r="K196">
        <f>YEAR(SalesTbl[[#This Row],[Order Date]])</f>
        <v>2024</v>
      </c>
    </row>
    <row r="197" spans="1:11">
      <c r="A197" t="s">
        <v>205</v>
      </c>
      <c r="B197" s="1">
        <v>45629</v>
      </c>
      <c r="C197" t="s">
        <v>396</v>
      </c>
      <c r="D197" t="s">
        <v>557</v>
      </c>
      <c r="E197" t="s">
        <v>561</v>
      </c>
      <c r="F197" t="s">
        <v>582</v>
      </c>
      <c r="G197">
        <v>8</v>
      </c>
      <c r="H197">
        <v>30235.439999999999</v>
      </c>
      <c r="I197">
        <v>241883.51999999999</v>
      </c>
      <c r="J197">
        <v>40244.080000000002</v>
      </c>
      <c r="K197">
        <f>YEAR(SalesTbl[[#This Row],[Order Date]])</f>
        <v>2024</v>
      </c>
    </row>
    <row r="198" spans="1:11">
      <c r="A198" t="s">
        <v>206</v>
      </c>
      <c r="B198" s="1">
        <v>45631</v>
      </c>
      <c r="C198" t="s">
        <v>489</v>
      </c>
      <c r="D198" t="s">
        <v>560</v>
      </c>
      <c r="E198" t="s">
        <v>562</v>
      </c>
      <c r="F198" t="s">
        <v>572</v>
      </c>
      <c r="G198">
        <v>1</v>
      </c>
      <c r="H198">
        <v>66776.03</v>
      </c>
      <c r="I198">
        <v>66776.03</v>
      </c>
      <c r="J198">
        <v>6079.78</v>
      </c>
      <c r="K198">
        <f>YEAR(SalesTbl[[#This Row],[Order Date]])</f>
        <v>2024</v>
      </c>
    </row>
    <row r="199" spans="1:11">
      <c r="A199" t="s">
        <v>207</v>
      </c>
      <c r="B199" s="1">
        <v>45633</v>
      </c>
      <c r="C199" t="s">
        <v>490</v>
      </c>
      <c r="D199" t="s">
        <v>560</v>
      </c>
      <c r="E199" t="s">
        <v>562</v>
      </c>
      <c r="F199" t="s">
        <v>577</v>
      </c>
      <c r="G199">
        <v>10</v>
      </c>
      <c r="H199">
        <v>23647.25</v>
      </c>
      <c r="I199">
        <v>236472.5</v>
      </c>
      <c r="J199">
        <v>38370.04</v>
      </c>
      <c r="K199">
        <f>YEAR(SalesTbl[[#This Row],[Order Date]])</f>
        <v>2024</v>
      </c>
    </row>
    <row r="200" spans="1:11">
      <c r="A200" t="s">
        <v>208</v>
      </c>
      <c r="B200" s="1">
        <v>45633</v>
      </c>
      <c r="C200" t="s">
        <v>491</v>
      </c>
      <c r="D200" t="s">
        <v>560</v>
      </c>
      <c r="E200" t="s">
        <v>561</v>
      </c>
      <c r="F200" t="s">
        <v>581</v>
      </c>
      <c r="G200">
        <v>3</v>
      </c>
      <c r="H200">
        <v>17212.77</v>
      </c>
      <c r="I200">
        <v>51638.31</v>
      </c>
      <c r="J200">
        <v>8809.2999999999993</v>
      </c>
      <c r="K200">
        <f>YEAR(SalesTbl[[#This Row],[Order Date]])</f>
        <v>2024</v>
      </c>
    </row>
    <row r="201" spans="1:11">
      <c r="A201" t="s">
        <v>209</v>
      </c>
      <c r="B201" s="1">
        <v>45635</v>
      </c>
      <c r="C201" t="s">
        <v>335</v>
      </c>
      <c r="D201" t="s">
        <v>557</v>
      </c>
      <c r="E201" t="s">
        <v>562</v>
      </c>
      <c r="F201" t="s">
        <v>575</v>
      </c>
      <c r="G201">
        <v>2</v>
      </c>
      <c r="H201">
        <v>42865.03</v>
      </c>
      <c r="I201">
        <v>85730.06</v>
      </c>
      <c r="J201">
        <v>8290.39</v>
      </c>
      <c r="K201">
        <f>YEAR(SalesTbl[[#This Row],[Order Date]])</f>
        <v>2024</v>
      </c>
    </row>
    <row r="202" spans="1:11">
      <c r="A202" t="s">
        <v>210</v>
      </c>
      <c r="B202" s="1">
        <v>45641</v>
      </c>
      <c r="C202" t="s">
        <v>492</v>
      </c>
      <c r="D202" t="s">
        <v>557</v>
      </c>
      <c r="E202" t="s">
        <v>562</v>
      </c>
      <c r="F202" t="s">
        <v>575</v>
      </c>
      <c r="G202">
        <v>7</v>
      </c>
      <c r="H202">
        <v>49346.21</v>
      </c>
      <c r="I202">
        <v>345423.47</v>
      </c>
      <c r="J202">
        <v>32412.92</v>
      </c>
      <c r="K202">
        <f>YEAR(SalesTbl[[#This Row],[Order Date]])</f>
        <v>2024</v>
      </c>
    </row>
    <row r="203" spans="1:11">
      <c r="A203" t="s">
        <v>211</v>
      </c>
      <c r="B203" s="1">
        <v>45648</v>
      </c>
      <c r="C203" t="s">
        <v>489</v>
      </c>
      <c r="D203" t="s">
        <v>560</v>
      </c>
      <c r="E203" t="s">
        <v>562</v>
      </c>
      <c r="F203" t="s">
        <v>576</v>
      </c>
      <c r="G203">
        <v>9</v>
      </c>
      <c r="H203">
        <v>9596.59</v>
      </c>
      <c r="I203">
        <v>86369.31</v>
      </c>
      <c r="J203">
        <v>10288.049999999999</v>
      </c>
      <c r="K203">
        <f>YEAR(SalesTbl[[#This Row],[Order Date]])</f>
        <v>2024</v>
      </c>
    </row>
    <row r="204" spans="1:11">
      <c r="A204" t="s">
        <v>212</v>
      </c>
      <c r="B204" s="1">
        <v>45651</v>
      </c>
      <c r="C204" t="s">
        <v>413</v>
      </c>
      <c r="D204" t="s">
        <v>558</v>
      </c>
      <c r="E204" t="s">
        <v>561</v>
      </c>
      <c r="F204" t="s">
        <v>574</v>
      </c>
      <c r="G204">
        <v>9</v>
      </c>
      <c r="H204">
        <v>38671.78</v>
      </c>
      <c r="I204">
        <v>348046.02</v>
      </c>
      <c r="J204">
        <v>82341.600000000006</v>
      </c>
      <c r="K204">
        <f>YEAR(SalesTbl[[#This Row],[Order Date]])</f>
        <v>2024</v>
      </c>
    </row>
    <row r="205" spans="1:11">
      <c r="A205" t="s">
        <v>213</v>
      </c>
      <c r="B205" s="1">
        <v>45652</v>
      </c>
      <c r="C205" t="s">
        <v>493</v>
      </c>
      <c r="D205" t="s">
        <v>559</v>
      </c>
      <c r="E205" t="s">
        <v>563</v>
      </c>
      <c r="F205" t="s">
        <v>567</v>
      </c>
      <c r="G205">
        <v>3</v>
      </c>
      <c r="H205">
        <v>2989.64</v>
      </c>
      <c r="I205">
        <v>8968.92</v>
      </c>
      <c r="J205">
        <v>2503.88</v>
      </c>
      <c r="K205">
        <f>YEAR(SalesTbl[[#This Row],[Order Date]])</f>
        <v>2024</v>
      </c>
    </row>
    <row r="206" spans="1:11">
      <c r="A206" t="s">
        <v>214</v>
      </c>
      <c r="B206" s="1">
        <v>45658</v>
      </c>
      <c r="C206" t="s">
        <v>419</v>
      </c>
      <c r="D206" t="s">
        <v>557</v>
      </c>
      <c r="E206" t="s">
        <v>563</v>
      </c>
      <c r="F206" t="s">
        <v>570</v>
      </c>
      <c r="G206">
        <v>5</v>
      </c>
      <c r="H206">
        <v>378.97</v>
      </c>
      <c r="I206">
        <v>1894.85</v>
      </c>
      <c r="J206">
        <v>435.52</v>
      </c>
      <c r="K206">
        <f>YEAR(SalesTbl[[#This Row],[Order Date]])</f>
        <v>2025</v>
      </c>
    </row>
    <row r="207" spans="1:11">
      <c r="A207" t="s">
        <v>215</v>
      </c>
      <c r="B207" s="1">
        <v>45660</v>
      </c>
      <c r="C207" t="s">
        <v>396</v>
      </c>
      <c r="D207" t="s">
        <v>558</v>
      </c>
      <c r="E207" t="s">
        <v>561</v>
      </c>
      <c r="F207" t="s">
        <v>564</v>
      </c>
      <c r="G207">
        <v>10</v>
      </c>
      <c r="H207">
        <v>31567.87</v>
      </c>
      <c r="I207">
        <v>315678.7</v>
      </c>
      <c r="J207">
        <v>49527.11</v>
      </c>
      <c r="K207">
        <f>YEAR(SalesTbl[[#This Row],[Order Date]])</f>
        <v>2025</v>
      </c>
    </row>
    <row r="208" spans="1:11">
      <c r="A208" t="s">
        <v>216</v>
      </c>
      <c r="B208" s="1">
        <v>45663</v>
      </c>
      <c r="C208" t="s">
        <v>422</v>
      </c>
      <c r="D208" t="s">
        <v>559</v>
      </c>
      <c r="E208" t="s">
        <v>561</v>
      </c>
      <c r="F208" t="s">
        <v>581</v>
      </c>
      <c r="G208">
        <v>2</v>
      </c>
      <c r="H208">
        <v>46636.76</v>
      </c>
      <c r="I208">
        <v>93273.52</v>
      </c>
      <c r="J208">
        <v>17527.63</v>
      </c>
      <c r="K208">
        <f>YEAR(SalesTbl[[#This Row],[Order Date]])</f>
        <v>2025</v>
      </c>
    </row>
    <row r="209" spans="1:11">
      <c r="A209" t="s">
        <v>217</v>
      </c>
      <c r="B209" s="1">
        <v>45665</v>
      </c>
      <c r="C209" t="s">
        <v>397</v>
      </c>
      <c r="D209" t="s">
        <v>560</v>
      </c>
      <c r="E209" t="s">
        <v>562</v>
      </c>
      <c r="F209" t="s">
        <v>572</v>
      </c>
      <c r="G209">
        <v>1</v>
      </c>
      <c r="H209">
        <v>73233.97</v>
      </c>
      <c r="I209">
        <v>73233.97</v>
      </c>
      <c r="J209">
        <v>8617.73</v>
      </c>
      <c r="K209">
        <f>YEAR(SalesTbl[[#This Row],[Order Date]])</f>
        <v>2025</v>
      </c>
    </row>
    <row r="210" spans="1:11">
      <c r="A210" t="s">
        <v>218</v>
      </c>
      <c r="B210" s="1">
        <v>45668</v>
      </c>
      <c r="C210" t="s">
        <v>494</v>
      </c>
      <c r="D210" t="s">
        <v>557</v>
      </c>
      <c r="E210" t="s">
        <v>561</v>
      </c>
      <c r="F210" t="s">
        <v>581</v>
      </c>
      <c r="G210">
        <v>9</v>
      </c>
      <c r="H210">
        <v>42533.11</v>
      </c>
      <c r="I210">
        <v>382797.99</v>
      </c>
      <c r="J210">
        <v>62674.81</v>
      </c>
      <c r="K210">
        <f>YEAR(SalesTbl[[#This Row],[Order Date]])</f>
        <v>2025</v>
      </c>
    </row>
    <row r="211" spans="1:11">
      <c r="A211" t="s">
        <v>219</v>
      </c>
      <c r="B211" s="1">
        <v>45671</v>
      </c>
      <c r="C211" t="s">
        <v>495</v>
      </c>
      <c r="D211" t="s">
        <v>560</v>
      </c>
      <c r="E211" t="s">
        <v>561</v>
      </c>
      <c r="F211" t="s">
        <v>564</v>
      </c>
      <c r="G211">
        <v>8</v>
      </c>
      <c r="H211">
        <v>23665.85</v>
      </c>
      <c r="I211">
        <v>189326.8</v>
      </c>
      <c r="J211">
        <v>44481.55</v>
      </c>
      <c r="K211">
        <f>YEAR(SalesTbl[[#This Row],[Order Date]])</f>
        <v>2025</v>
      </c>
    </row>
    <row r="212" spans="1:11">
      <c r="A212" t="s">
        <v>220</v>
      </c>
      <c r="B212" s="1">
        <v>45671</v>
      </c>
      <c r="C212" t="s">
        <v>363</v>
      </c>
      <c r="D212" t="s">
        <v>560</v>
      </c>
      <c r="E212" t="s">
        <v>561</v>
      </c>
      <c r="F212" t="s">
        <v>581</v>
      </c>
      <c r="G212">
        <v>3</v>
      </c>
      <c r="H212">
        <v>8113.32</v>
      </c>
      <c r="I212">
        <v>24339.96</v>
      </c>
      <c r="J212">
        <v>5517.46</v>
      </c>
      <c r="K212">
        <f>YEAR(SalesTbl[[#This Row],[Order Date]])</f>
        <v>2025</v>
      </c>
    </row>
    <row r="213" spans="1:11">
      <c r="A213" t="s">
        <v>221</v>
      </c>
      <c r="B213" s="1">
        <v>45676</v>
      </c>
      <c r="C213" t="s">
        <v>496</v>
      </c>
      <c r="D213" t="s">
        <v>557</v>
      </c>
      <c r="E213" t="s">
        <v>561</v>
      </c>
      <c r="F213" t="s">
        <v>580</v>
      </c>
      <c r="G213">
        <v>7</v>
      </c>
      <c r="H213">
        <v>1935.55</v>
      </c>
      <c r="I213">
        <v>13548.85</v>
      </c>
      <c r="J213">
        <v>3148.94</v>
      </c>
      <c r="K213">
        <f>YEAR(SalesTbl[[#This Row],[Order Date]])</f>
        <v>2025</v>
      </c>
    </row>
    <row r="214" spans="1:11">
      <c r="A214" t="s">
        <v>222</v>
      </c>
      <c r="B214" s="1">
        <v>45677</v>
      </c>
      <c r="C214" t="s">
        <v>468</v>
      </c>
      <c r="D214" t="s">
        <v>557</v>
      </c>
      <c r="E214" t="s">
        <v>561</v>
      </c>
      <c r="F214" t="s">
        <v>571</v>
      </c>
      <c r="G214">
        <v>7</v>
      </c>
      <c r="H214">
        <v>20732.59</v>
      </c>
      <c r="I214">
        <v>145128.13</v>
      </c>
      <c r="J214">
        <v>22472.84</v>
      </c>
      <c r="K214">
        <f>YEAR(SalesTbl[[#This Row],[Order Date]])</f>
        <v>2025</v>
      </c>
    </row>
    <row r="215" spans="1:11">
      <c r="A215" t="s">
        <v>223</v>
      </c>
      <c r="B215" s="1">
        <v>45677</v>
      </c>
      <c r="C215" t="s">
        <v>421</v>
      </c>
      <c r="D215" t="s">
        <v>559</v>
      </c>
      <c r="E215" t="s">
        <v>561</v>
      </c>
      <c r="F215" t="s">
        <v>582</v>
      </c>
      <c r="G215">
        <v>2</v>
      </c>
      <c r="H215">
        <v>26254.67</v>
      </c>
      <c r="I215">
        <v>52509.34</v>
      </c>
      <c r="J215">
        <v>12570.69</v>
      </c>
      <c r="K215">
        <f>YEAR(SalesTbl[[#This Row],[Order Date]])</f>
        <v>2025</v>
      </c>
    </row>
    <row r="216" spans="1:11">
      <c r="A216" t="s">
        <v>224</v>
      </c>
      <c r="B216" s="1">
        <v>45679</v>
      </c>
      <c r="C216" t="s">
        <v>497</v>
      </c>
      <c r="D216" t="s">
        <v>558</v>
      </c>
      <c r="E216" t="s">
        <v>561</v>
      </c>
      <c r="F216" t="s">
        <v>564</v>
      </c>
      <c r="G216">
        <v>6</v>
      </c>
      <c r="H216">
        <v>17970.060000000001</v>
      </c>
      <c r="I216">
        <v>107820.36</v>
      </c>
      <c r="J216">
        <v>15853.09</v>
      </c>
      <c r="K216">
        <f>YEAR(SalesTbl[[#This Row],[Order Date]])</f>
        <v>2025</v>
      </c>
    </row>
    <row r="217" spans="1:11">
      <c r="A217" t="s">
        <v>225</v>
      </c>
      <c r="B217" s="1">
        <v>45683</v>
      </c>
      <c r="C217" t="s">
        <v>498</v>
      </c>
      <c r="D217" t="s">
        <v>558</v>
      </c>
      <c r="E217" t="s">
        <v>563</v>
      </c>
      <c r="F217" t="s">
        <v>567</v>
      </c>
      <c r="G217">
        <v>5</v>
      </c>
      <c r="H217">
        <v>1932.65</v>
      </c>
      <c r="I217">
        <v>9663.25</v>
      </c>
      <c r="J217">
        <v>2046.65</v>
      </c>
      <c r="K217">
        <f>YEAR(SalesTbl[[#This Row],[Order Date]])</f>
        <v>2025</v>
      </c>
    </row>
    <row r="218" spans="1:11">
      <c r="A218" t="s">
        <v>226</v>
      </c>
      <c r="B218" s="1">
        <v>45685</v>
      </c>
      <c r="C218" t="s">
        <v>499</v>
      </c>
      <c r="D218" t="s">
        <v>557</v>
      </c>
      <c r="E218" t="s">
        <v>563</v>
      </c>
      <c r="F218" t="s">
        <v>569</v>
      </c>
      <c r="G218">
        <v>8</v>
      </c>
      <c r="H218">
        <v>1722.71</v>
      </c>
      <c r="I218">
        <v>13781.68</v>
      </c>
      <c r="J218">
        <v>4371.0200000000004</v>
      </c>
      <c r="K218">
        <f>YEAR(SalesTbl[[#This Row],[Order Date]])</f>
        <v>2025</v>
      </c>
    </row>
    <row r="219" spans="1:11">
      <c r="A219" t="s">
        <v>227</v>
      </c>
      <c r="B219" s="1">
        <v>45686</v>
      </c>
      <c r="C219" t="s">
        <v>500</v>
      </c>
      <c r="D219" t="s">
        <v>558</v>
      </c>
      <c r="E219" t="s">
        <v>563</v>
      </c>
      <c r="F219" t="s">
        <v>573</v>
      </c>
      <c r="G219">
        <v>8</v>
      </c>
      <c r="H219">
        <v>393.6</v>
      </c>
      <c r="I219">
        <v>3148.8</v>
      </c>
      <c r="J219">
        <v>702.03</v>
      </c>
      <c r="K219">
        <f>YEAR(SalesTbl[[#This Row],[Order Date]])</f>
        <v>2025</v>
      </c>
    </row>
    <row r="220" spans="1:11">
      <c r="A220" t="s">
        <v>228</v>
      </c>
      <c r="B220" s="1">
        <v>45687</v>
      </c>
      <c r="C220" t="s">
        <v>501</v>
      </c>
      <c r="D220" t="s">
        <v>557</v>
      </c>
      <c r="E220" t="s">
        <v>562</v>
      </c>
      <c r="F220" t="s">
        <v>578</v>
      </c>
      <c r="G220">
        <v>3</v>
      </c>
      <c r="H220">
        <v>86330.92</v>
      </c>
      <c r="I220">
        <v>258992.76</v>
      </c>
      <c r="J220">
        <v>23083.68</v>
      </c>
      <c r="K220">
        <f>YEAR(SalesTbl[[#This Row],[Order Date]])</f>
        <v>2025</v>
      </c>
    </row>
    <row r="221" spans="1:11">
      <c r="A221" t="s">
        <v>229</v>
      </c>
      <c r="B221" s="1">
        <v>45687</v>
      </c>
      <c r="C221" t="s">
        <v>476</v>
      </c>
      <c r="D221" t="s">
        <v>559</v>
      </c>
      <c r="E221" t="s">
        <v>563</v>
      </c>
      <c r="F221" t="s">
        <v>573</v>
      </c>
      <c r="G221">
        <v>8</v>
      </c>
      <c r="H221">
        <v>3651.82</v>
      </c>
      <c r="I221">
        <v>29214.560000000001</v>
      </c>
      <c r="J221">
        <v>7771.1</v>
      </c>
      <c r="K221">
        <f>YEAR(SalesTbl[[#This Row],[Order Date]])</f>
        <v>2025</v>
      </c>
    </row>
    <row r="222" spans="1:11">
      <c r="A222" t="s">
        <v>230</v>
      </c>
      <c r="B222" s="1">
        <v>45691</v>
      </c>
      <c r="C222" t="s">
        <v>502</v>
      </c>
      <c r="D222" t="s">
        <v>557</v>
      </c>
      <c r="E222" t="s">
        <v>563</v>
      </c>
      <c r="F222" t="s">
        <v>573</v>
      </c>
      <c r="G222">
        <v>3</v>
      </c>
      <c r="H222">
        <v>250.54</v>
      </c>
      <c r="I222">
        <v>751.62</v>
      </c>
      <c r="J222">
        <v>178.48</v>
      </c>
      <c r="K222">
        <f>YEAR(SalesTbl[[#This Row],[Order Date]])</f>
        <v>2025</v>
      </c>
    </row>
    <row r="223" spans="1:11">
      <c r="A223" t="s">
        <v>231</v>
      </c>
      <c r="B223" s="1">
        <v>45692</v>
      </c>
      <c r="C223" t="s">
        <v>503</v>
      </c>
      <c r="D223" t="s">
        <v>557</v>
      </c>
      <c r="E223" t="s">
        <v>561</v>
      </c>
      <c r="F223" t="s">
        <v>581</v>
      </c>
      <c r="G223">
        <v>7</v>
      </c>
      <c r="H223">
        <v>8410.02</v>
      </c>
      <c r="I223">
        <v>58870.14</v>
      </c>
      <c r="J223">
        <v>12843.57</v>
      </c>
      <c r="K223">
        <f>YEAR(SalesTbl[[#This Row],[Order Date]])</f>
        <v>2025</v>
      </c>
    </row>
    <row r="224" spans="1:11">
      <c r="A224" t="s">
        <v>232</v>
      </c>
      <c r="B224" s="1">
        <v>45692</v>
      </c>
      <c r="C224" t="s">
        <v>371</v>
      </c>
      <c r="D224" t="s">
        <v>559</v>
      </c>
      <c r="E224" t="s">
        <v>562</v>
      </c>
      <c r="F224" t="s">
        <v>577</v>
      </c>
      <c r="G224">
        <v>10</v>
      </c>
      <c r="H224">
        <v>38561.19</v>
      </c>
      <c r="I224">
        <v>385611.9</v>
      </c>
      <c r="J224">
        <v>47123.16</v>
      </c>
      <c r="K224">
        <f>YEAR(SalesTbl[[#This Row],[Order Date]])</f>
        <v>2025</v>
      </c>
    </row>
    <row r="225" spans="1:11">
      <c r="A225" t="s">
        <v>233</v>
      </c>
      <c r="B225" s="1">
        <v>45694</v>
      </c>
      <c r="C225" t="s">
        <v>390</v>
      </c>
      <c r="D225" t="s">
        <v>557</v>
      </c>
      <c r="E225" t="s">
        <v>561</v>
      </c>
      <c r="F225" t="s">
        <v>571</v>
      </c>
      <c r="G225">
        <v>3</v>
      </c>
      <c r="H225">
        <v>39459.839999999997</v>
      </c>
      <c r="I225">
        <v>118379.52</v>
      </c>
      <c r="J225">
        <v>19571.28</v>
      </c>
      <c r="K225">
        <f>YEAR(SalesTbl[[#This Row],[Order Date]])</f>
        <v>2025</v>
      </c>
    </row>
    <row r="226" spans="1:11">
      <c r="A226" t="s">
        <v>234</v>
      </c>
      <c r="B226" s="1">
        <v>45697</v>
      </c>
      <c r="C226" t="s">
        <v>460</v>
      </c>
      <c r="D226" t="s">
        <v>557</v>
      </c>
      <c r="E226" t="s">
        <v>561</v>
      </c>
      <c r="F226" t="s">
        <v>580</v>
      </c>
      <c r="G226">
        <v>1</v>
      </c>
      <c r="H226">
        <v>40612.379999999997</v>
      </c>
      <c r="I226">
        <v>40612.379999999997</v>
      </c>
      <c r="J226">
        <v>6298.51</v>
      </c>
      <c r="K226">
        <f>YEAR(SalesTbl[[#This Row],[Order Date]])</f>
        <v>2025</v>
      </c>
    </row>
    <row r="227" spans="1:11">
      <c r="A227" t="s">
        <v>235</v>
      </c>
      <c r="B227" s="1">
        <v>45698</v>
      </c>
      <c r="C227" t="s">
        <v>368</v>
      </c>
      <c r="D227" t="s">
        <v>557</v>
      </c>
      <c r="E227" t="s">
        <v>563</v>
      </c>
      <c r="F227" t="s">
        <v>568</v>
      </c>
      <c r="G227">
        <v>5</v>
      </c>
      <c r="H227">
        <v>535.1</v>
      </c>
      <c r="I227">
        <v>2675.5</v>
      </c>
      <c r="J227">
        <v>929.53</v>
      </c>
      <c r="K227">
        <f>YEAR(SalesTbl[[#This Row],[Order Date]])</f>
        <v>2025</v>
      </c>
    </row>
    <row r="228" spans="1:11">
      <c r="A228" t="s">
        <v>236</v>
      </c>
      <c r="B228" s="1">
        <v>45699</v>
      </c>
      <c r="C228" t="s">
        <v>485</v>
      </c>
      <c r="D228" t="s">
        <v>558</v>
      </c>
      <c r="E228" t="s">
        <v>561</v>
      </c>
      <c r="F228" t="s">
        <v>571</v>
      </c>
      <c r="G228">
        <v>8</v>
      </c>
      <c r="H228">
        <v>34563.129999999997</v>
      </c>
      <c r="I228">
        <v>276505.03999999998</v>
      </c>
      <c r="J228">
        <v>39279.86</v>
      </c>
      <c r="K228">
        <f>YEAR(SalesTbl[[#This Row],[Order Date]])</f>
        <v>2025</v>
      </c>
    </row>
    <row r="229" spans="1:11">
      <c r="A229" t="s">
        <v>237</v>
      </c>
      <c r="B229" s="1">
        <v>45699</v>
      </c>
      <c r="C229" t="s">
        <v>504</v>
      </c>
      <c r="D229" t="s">
        <v>560</v>
      </c>
      <c r="E229" t="s">
        <v>562</v>
      </c>
      <c r="F229" t="s">
        <v>576</v>
      </c>
      <c r="G229">
        <v>10</v>
      </c>
      <c r="H229">
        <v>82321.789999999994</v>
      </c>
      <c r="I229">
        <v>823217.9</v>
      </c>
      <c r="J229">
        <v>66284.259999999995</v>
      </c>
      <c r="K229">
        <f>YEAR(SalesTbl[[#This Row],[Order Date]])</f>
        <v>2025</v>
      </c>
    </row>
    <row r="230" spans="1:11">
      <c r="A230" t="s">
        <v>238</v>
      </c>
      <c r="B230" s="1">
        <v>45702</v>
      </c>
      <c r="C230" t="s">
        <v>505</v>
      </c>
      <c r="D230" t="s">
        <v>557</v>
      </c>
      <c r="E230" t="s">
        <v>562</v>
      </c>
      <c r="F230" t="s">
        <v>572</v>
      </c>
      <c r="G230">
        <v>4</v>
      </c>
      <c r="H230">
        <v>67339.25</v>
      </c>
      <c r="I230">
        <v>269357</v>
      </c>
      <c r="J230">
        <v>36898.94</v>
      </c>
      <c r="K230">
        <f>YEAR(SalesTbl[[#This Row],[Order Date]])</f>
        <v>2025</v>
      </c>
    </row>
    <row r="231" spans="1:11">
      <c r="A231" t="s">
        <v>239</v>
      </c>
      <c r="B231" s="1">
        <v>45704</v>
      </c>
      <c r="C231" t="s">
        <v>427</v>
      </c>
      <c r="D231" t="s">
        <v>558</v>
      </c>
      <c r="E231" t="s">
        <v>561</v>
      </c>
      <c r="F231" t="s">
        <v>581</v>
      </c>
      <c r="G231">
        <v>9</v>
      </c>
      <c r="H231">
        <v>3308.22</v>
      </c>
      <c r="I231">
        <v>29773.98</v>
      </c>
      <c r="J231">
        <v>6682.84</v>
      </c>
      <c r="K231">
        <f>YEAR(SalesTbl[[#This Row],[Order Date]])</f>
        <v>2025</v>
      </c>
    </row>
    <row r="232" spans="1:11">
      <c r="A232" t="s">
        <v>240</v>
      </c>
      <c r="B232" s="1">
        <v>45707</v>
      </c>
      <c r="C232" t="s">
        <v>506</v>
      </c>
      <c r="D232" t="s">
        <v>558</v>
      </c>
      <c r="E232" t="s">
        <v>561</v>
      </c>
      <c r="F232" t="s">
        <v>571</v>
      </c>
      <c r="G232">
        <v>7</v>
      </c>
      <c r="H232">
        <v>33087.08</v>
      </c>
      <c r="I232">
        <v>231609.56</v>
      </c>
      <c r="J232">
        <v>50724.94</v>
      </c>
      <c r="K232">
        <f>YEAR(SalesTbl[[#This Row],[Order Date]])</f>
        <v>2025</v>
      </c>
    </row>
    <row r="233" spans="1:11">
      <c r="A233" t="s">
        <v>241</v>
      </c>
      <c r="B233" s="1">
        <v>45710</v>
      </c>
      <c r="C233" t="s">
        <v>507</v>
      </c>
      <c r="D233" t="s">
        <v>557</v>
      </c>
      <c r="E233" t="s">
        <v>562</v>
      </c>
      <c r="F233" t="s">
        <v>577</v>
      </c>
      <c r="G233">
        <v>5</v>
      </c>
      <c r="H233">
        <v>69757.429999999993</v>
      </c>
      <c r="I233">
        <v>348787.15</v>
      </c>
      <c r="J233">
        <v>60211.16</v>
      </c>
      <c r="K233">
        <f>YEAR(SalesTbl[[#This Row],[Order Date]])</f>
        <v>2025</v>
      </c>
    </row>
    <row r="234" spans="1:11">
      <c r="A234" t="s">
        <v>242</v>
      </c>
      <c r="B234" s="1">
        <v>45713</v>
      </c>
      <c r="C234" t="s">
        <v>508</v>
      </c>
      <c r="D234" t="s">
        <v>557</v>
      </c>
      <c r="E234" t="s">
        <v>563</v>
      </c>
      <c r="F234" t="s">
        <v>568</v>
      </c>
      <c r="G234">
        <v>5</v>
      </c>
      <c r="H234">
        <v>797.43</v>
      </c>
      <c r="I234">
        <v>3987.15</v>
      </c>
      <c r="J234">
        <v>1314.75</v>
      </c>
      <c r="K234">
        <f>YEAR(SalesTbl[[#This Row],[Order Date]])</f>
        <v>2025</v>
      </c>
    </row>
    <row r="235" spans="1:11">
      <c r="A235" t="s">
        <v>243</v>
      </c>
      <c r="B235" s="1">
        <v>45728</v>
      </c>
      <c r="C235" t="s">
        <v>509</v>
      </c>
      <c r="D235" t="s">
        <v>560</v>
      </c>
      <c r="E235" t="s">
        <v>562</v>
      </c>
      <c r="F235" t="s">
        <v>572</v>
      </c>
      <c r="G235">
        <v>5</v>
      </c>
      <c r="H235">
        <v>53285.73</v>
      </c>
      <c r="I235">
        <v>266428.65000000002</v>
      </c>
      <c r="J235">
        <v>46485.56</v>
      </c>
      <c r="K235">
        <f>YEAR(SalesTbl[[#This Row],[Order Date]])</f>
        <v>2025</v>
      </c>
    </row>
    <row r="236" spans="1:11">
      <c r="A236" t="s">
        <v>244</v>
      </c>
      <c r="B236" s="1">
        <v>45728</v>
      </c>
      <c r="C236" t="s">
        <v>510</v>
      </c>
      <c r="D236" t="s">
        <v>557</v>
      </c>
      <c r="E236" t="s">
        <v>562</v>
      </c>
      <c r="F236" t="s">
        <v>565</v>
      </c>
      <c r="G236">
        <v>6</v>
      </c>
      <c r="H236">
        <v>10507.75</v>
      </c>
      <c r="I236">
        <v>63046.5</v>
      </c>
      <c r="J236">
        <v>7347.17</v>
      </c>
      <c r="K236">
        <f>YEAR(SalesTbl[[#This Row],[Order Date]])</f>
        <v>2025</v>
      </c>
    </row>
    <row r="237" spans="1:11">
      <c r="A237" t="s">
        <v>245</v>
      </c>
      <c r="B237" s="1">
        <v>45733</v>
      </c>
      <c r="C237" t="s">
        <v>511</v>
      </c>
      <c r="D237" t="s">
        <v>557</v>
      </c>
      <c r="E237" t="s">
        <v>562</v>
      </c>
      <c r="F237" t="s">
        <v>575</v>
      </c>
      <c r="G237">
        <v>7</v>
      </c>
      <c r="H237">
        <v>86676.59</v>
      </c>
      <c r="I237">
        <v>606736.13</v>
      </c>
      <c r="J237">
        <v>78708.75</v>
      </c>
      <c r="K237">
        <f>YEAR(SalesTbl[[#This Row],[Order Date]])</f>
        <v>2025</v>
      </c>
    </row>
    <row r="238" spans="1:11">
      <c r="A238" t="s">
        <v>246</v>
      </c>
      <c r="B238" s="1">
        <v>45734</v>
      </c>
      <c r="C238" t="s">
        <v>512</v>
      </c>
      <c r="D238" t="s">
        <v>560</v>
      </c>
      <c r="E238" t="s">
        <v>562</v>
      </c>
      <c r="F238" t="s">
        <v>572</v>
      </c>
      <c r="G238">
        <v>8</v>
      </c>
      <c r="H238">
        <v>46237.45</v>
      </c>
      <c r="I238">
        <v>369899.6</v>
      </c>
      <c r="J238">
        <v>33442.94</v>
      </c>
      <c r="K238">
        <f>YEAR(SalesTbl[[#This Row],[Order Date]])</f>
        <v>2025</v>
      </c>
    </row>
    <row r="239" spans="1:11">
      <c r="A239" t="s">
        <v>247</v>
      </c>
      <c r="B239" s="1">
        <v>45741</v>
      </c>
      <c r="C239" t="s">
        <v>513</v>
      </c>
      <c r="D239" t="s">
        <v>560</v>
      </c>
      <c r="E239" t="s">
        <v>561</v>
      </c>
      <c r="F239" t="s">
        <v>581</v>
      </c>
      <c r="G239">
        <v>9</v>
      </c>
      <c r="H239">
        <v>6934.99</v>
      </c>
      <c r="I239">
        <v>62414.91</v>
      </c>
      <c r="J239">
        <v>10342.16</v>
      </c>
      <c r="K239">
        <f>YEAR(SalesTbl[[#This Row],[Order Date]])</f>
        <v>2025</v>
      </c>
    </row>
    <row r="240" spans="1:11">
      <c r="A240" t="s">
        <v>248</v>
      </c>
      <c r="B240" s="1">
        <v>45741</v>
      </c>
      <c r="C240" t="s">
        <v>514</v>
      </c>
      <c r="D240" t="s">
        <v>558</v>
      </c>
      <c r="E240" t="s">
        <v>561</v>
      </c>
      <c r="F240" t="s">
        <v>580</v>
      </c>
      <c r="G240">
        <v>10</v>
      </c>
      <c r="H240">
        <v>2512.7600000000002</v>
      </c>
      <c r="I240">
        <v>25127.599999999999</v>
      </c>
      <c r="J240">
        <v>6250.35</v>
      </c>
      <c r="K240">
        <f>YEAR(SalesTbl[[#This Row],[Order Date]])</f>
        <v>2025</v>
      </c>
    </row>
    <row r="241" spans="1:11">
      <c r="A241" t="s">
        <v>249</v>
      </c>
      <c r="B241" s="1">
        <v>45745</v>
      </c>
      <c r="C241" t="s">
        <v>493</v>
      </c>
      <c r="D241" t="s">
        <v>560</v>
      </c>
      <c r="E241" t="s">
        <v>563</v>
      </c>
      <c r="F241" t="s">
        <v>566</v>
      </c>
      <c r="G241">
        <v>5</v>
      </c>
      <c r="H241">
        <v>3850.38</v>
      </c>
      <c r="I241">
        <v>19251.900000000001</v>
      </c>
      <c r="J241">
        <v>6710.27</v>
      </c>
      <c r="K241">
        <f>YEAR(SalesTbl[[#This Row],[Order Date]])</f>
        <v>2025</v>
      </c>
    </row>
    <row r="242" spans="1:11">
      <c r="A242" t="s">
        <v>250</v>
      </c>
      <c r="B242" s="1">
        <v>45746</v>
      </c>
      <c r="C242" t="s">
        <v>394</v>
      </c>
      <c r="D242" t="s">
        <v>560</v>
      </c>
      <c r="E242" t="s">
        <v>562</v>
      </c>
      <c r="F242" t="s">
        <v>572</v>
      </c>
      <c r="G242">
        <v>4</v>
      </c>
      <c r="H242">
        <v>86176.88</v>
      </c>
      <c r="I242">
        <v>344707.52</v>
      </c>
      <c r="J242">
        <v>47343.44</v>
      </c>
      <c r="K242">
        <f>YEAR(SalesTbl[[#This Row],[Order Date]])</f>
        <v>2025</v>
      </c>
    </row>
    <row r="243" spans="1:11">
      <c r="A243" t="s">
        <v>251</v>
      </c>
      <c r="B243" s="1">
        <v>45747</v>
      </c>
      <c r="C243" t="s">
        <v>453</v>
      </c>
      <c r="D243" t="s">
        <v>558</v>
      </c>
      <c r="E243" t="s">
        <v>561</v>
      </c>
      <c r="F243" t="s">
        <v>581</v>
      </c>
      <c r="G243">
        <v>5</v>
      </c>
      <c r="H243">
        <v>29934.01</v>
      </c>
      <c r="I243">
        <v>149670.04999999999</v>
      </c>
      <c r="J243">
        <v>31433.21</v>
      </c>
      <c r="K243">
        <f>YEAR(SalesTbl[[#This Row],[Order Date]])</f>
        <v>2025</v>
      </c>
    </row>
    <row r="244" spans="1:11">
      <c r="A244" t="s">
        <v>252</v>
      </c>
      <c r="B244" s="1">
        <v>45749</v>
      </c>
      <c r="C244" t="s">
        <v>515</v>
      </c>
      <c r="D244" t="s">
        <v>560</v>
      </c>
      <c r="E244" t="s">
        <v>562</v>
      </c>
      <c r="F244" t="s">
        <v>577</v>
      </c>
      <c r="G244">
        <v>2</v>
      </c>
      <c r="H244">
        <v>80922.59</v>
      </c>
      <c r="I244">
        <v>161845.18</v>
      </c>
      <c r="J244">
        <v>19562.78</v>
      </c>
      <c r="K244">
        <f>YEAR(SalesTbl[[#This Row],[Order Date]])</f>
        <v>2025</v>
      </c>
    </row>
    <row r="245" spans="1:11">
      <c r="A245" t="s">
        <v>253</v>
      </c>
      <c r="B245" s="1">
        <v>45749</v>
      </c>
      <c r="C245" t="s">
        <v>359</v>
      </c>
      <c r="D245" t="s">
        <v>557</v>
      </c>
      <c r="E245" t="s">
        <v>562</v>
      </c>
      <c r="F245" t="s">
        <v>572</v>
      </c>
      <c r="G245">
        <v>5</v>
      </c>
      <c r="H245">
        <v>34939.769999999997</v>
      </c>
      <c r="I245">
        <v>174698.85</v>
      </c>
      <c r="J245">
        <v>21846.86</v>
      </c>
      <c r="K245">
        <f>YEAR(SalesTbl[[#This Row],[Order Date]])</f>
        <v>2025</v>
      </c>
    </row>
    <row r="246" spans="1:11">
      <c r="A246" t="s">
        <v>254</v>
      </c>
      <c r="B246" s="1">
        <v>45752</v>
      </c>
      <c r="C246" t="s">
        <v>516</v>
      </c>
      <c r="D246" t="s">
        <v>557</v>
      </c>
      <c r="E246" t="s">
        <v>562</v>
      </c>
      <c r="F246" t="s">
        <v>578</v>
      </c>
      <c r="G246">
        <v>9</v>
      </c>
      <c r="H246">
        <v>7120.8</v>
      </c>
      <c r="I246">
        <v>64087.199999999997</v>
      </c>
      <c r="J246">
        <v>7785.44</v>
      </c>
      <c r="K246">
        <f>YEAR(SalesTbl[[#This Row],[Order Date]])</f>
        <v>2025</v>
      </c>
    </row>
    <row r="247" spans="1:11">
      <c r="A247" t="s">
        <v>255</v>
      </c>
      <c r="B247" s="1">
        <v>45763</v>
      </c>
      <c r="C247" t="s">
        <v>517</v>
      </c>
      <c r="D247" t="s">
        <v>557</v>
      </c>
      <c r="E247" t="s">
        <v>563</v>
      </c>
      <c r="F247" t="s">
        <v>568</v>
      </c>
      <c r="G247">
        <v>1</v>
      </c>
      <c r="H247">
        <v>2826.92</v>
      </c>
      <c r="I247">
        <v>2826.92</v>
      </c>
      <c r="J247">
        <v>540.03</v>
      </c>
      <c r="K247">
        <f>YEAR(SalesTbl[[#This Row],[Order Date]])</f>
        <v>2025</v>
      </c>
    </row>
    <row r="248" spans="1:11">
      <c r="A248" t="s">
        <v>256</v>
      </c>
      <c r="B248" s="1">
        <v>45763</v>
      </c>
      <c r="C248" t="s">
        <v>518</v>
      </c>
      <c r="D248" t="s">
        <v>560</v>
      </c>
      <c r="E248" t="s">
        <v>562</v>
      </c>
      <c r="F248" t="s">
        <v>578</v>
      </c>
      <c r="G248">
        <v>3</v>
      </c>
      <c r="H248">
        <v>2746.06</v>
      </c>
      <c r="I248">
        <v>8238.18</v>
      </c>
      <c r="J248">
        <v>1241.3800000000001</v>
      </c>
      <c r="K248">
        <f>YEAR(SalesTbl[[#This Row],[Order Date]])</f>
        <v>2025</v>
      </c>
    </row>
    <row r="249" spans="1:11">
      <c r="A249" t="s">
        <v>257</v>
      </c>
      <c r="B249" s="1">
        <v>45764</v>
      </c>
      <c r="C249" t="s">
        <v>519</v>
      </c>
      <c r="D249" t="s">
        <v>557</v>
      </c>
      <c r="E249" t="s">
        <v>563</v>
      </c>
      <c r="F249" t="s">
        <v>568</v>
      </c>
      <c r="G249">
        <v>2</v>
      </c>
      <c r="H249">
        <v>2670.83</v>
      </c>
      <c r="I249">
        <v>5341.66</v>
      </c>
      <c r="J249">
        <v>1107.53</v>
      </c>
      <c r="K249">
        <f>YEAR(SalesTbl[[#This Row],[Order Date]])</f>
        <v>2025</v>
      </c>
    </row>
    <row r="250" spans="1:11">
      <c r="A250" t="s">
        <v>258</v>
      </c>
      <c r="B250" s="1">
        <v>45764</v>
      </c>
      <c r="C250" t="s">
        <v>520</v>
      </c>
      <c r="D250" t="s">
        <v>558</v>
      </c>
      <c r="E250" t="s">
        <v>562</v>
      </c>
      <c r="F250" t="s">
        <v>575</v>
      </c>
      <c r="G250">
        <v>10</v>
      </c>
      <c r="H250">
        <v>20002.84</v>
      </c>
      <c r="I250">
        <v>200028.4</v>
      </c>
      <c r="J250">
        <v>21161.84</v>
      </c>
      <c r="K250">
        <f>YEAR(SalesTbl[[#This Row],[Order Date]])</f>
        <v>2025</v>
      </c>
    </row>
    <row r="251" spans="1:11">
      <c r="A251" t="s">
        <v>259</v>
      </c>
      <c r="B251" s="1">
        <v>45765</v>
      </c>
      <c r="C251" t="s">
        <v>521</v>
      </c>
      <c r="D251" t="s">
        <v>560</v>
      </c>
      <c r="E251" t="s">
        <v>561</v>
      </c>
      <c r="F251" t="s">
        <v>574</v>
      </c>
      <c r="G251">
        <v>7</v>
      </c>
      <c r="H251">
        <v>52990.48</v>
      </c>
      <c r="I251">
        <v>370933.36</v>
      </c>
      <c r="J251">
        <v>65165.9</v>
      </c>
      <c r="K251">
        <f>YEAR(SalesTbl[[#This Row],[Order Date]])</f>
        <v>2025</v>
      </c>
    </row>
    <row r="252" spans="1:11">
      <c r="A252" t="s">
        <v>260</v>
      </c>
      <c r="B252" s="1">
        <v>45767</v>
      </c>
      <c r="C252" t="s">
        <v>522</v>
      </c>
      <c r="D252" t="s">
        <v>559</v>
      </c>
      <c r="E252" t="s">
        <v>563</v>
      </c>
      <c r="F252" t="s">
        <v>568</v>
      </c>
      <c r="G252">
        <v>8</v>
      </c>
      <c r="H252">
        <v>2163.5300000000002</v>
      </c>
      <c r="I252">
        <v>17308.240000000002</v>
      </c>
      <c r="J252">
        <v>4593.1400000000003</v>
      </c>
      <c r="K252">
        <f>YEAR(SalesTbl[[#This Row],[Order Date]])</f>
        <v>2025</v>
      </c>
    </row>
    <row r="253" spans="1:11">
      <c r="A253" t="s">
        <v>261</v>
      </c>
      <c r="B253" s="1">
        <v>45768</v>
      </c>
      <c r="C253" t="s">
        <v>523</v>
      </c>
      <c r="D253" t="s">
        <v>557</v>
      </c>
      <c r="E253" t="s">
        <v>561</v>
      </c>
      <c r="F253" t="s">
        <v>580</v>
      </c>
      <c r="G253">
        <v>10</v>
      </c>
      <c r="H253">
        <v>53363.65</v>
      </c>
      <c r="I253">
        <v>533636.5</v>
      </c>
      <c r="J253">
        <v>95237.06</v>
      </c>
      <c r="K253">
        <f>YEAR(SalesTbl[[#This Row],[Order Date]])</f>
        <v>2025</v>
      </c>
    </row>
    <row r="254" spans="1:11">
      <c r="A254" t="s">
        <v>262</v>
      </c>
      <c r="B254" s="1">
        <v>45768</v>
      </c>
      <c r="C254" t="s">
        <v>342</v>
      </c>
      <c r="D254" t="s">
        <v>557</v>
      </c>
      <c r="E254" t="s">
        <v>561</v>
      </c>
      <c r="F254" t="s">
        <v>564</v>
      </c>
      <c r="G254">
        <v>10</v>
      </c>
      <c r="H254">
        <v>17152.25</v>
      </c>
      <c r="I254">
        <v>171522.5</v>
      </c>
      <c r="J254">
        <v>38646.550000000003</v>
      </c>
      <c r="K254">
        <f>YEAR(SalesTbl[[#This Row],[Order Date]])</f>
        <v>2025</v>
      </c>
    </row>
    <row r="255" spans="1:11">
      <c r="A255" t="s">
        <v>263</v>
      </c>
      <c r="B255" s="1">
        <v>45779</v>
      </c>
      <c r="C255" t="s">
        <v>524</v>
      </c>
      <c r="D255" t="s">
        <v>558</v>
      </c>
      <c r="E255" t="s">
        <v>561</v>
      </c>
      <c r="F255" t="s">
        <v>574</v>
      </c>
      <c r="G255">
        <v>8</v>
      </c>
      <c r="H255">
        <v>34455.300000000003</v>
      </c>
      <c r="I255">
        <v>275642.40000000002</v>
      </c>
      <c r="J255">
        <v>33872.050000000003</v>
      </c>
      <c r="K255">
        <f>YEAR(SalesTbl[[#This Row],[Order Date]])</f>
        <v>2025</v>
      </c>
    </row>
    <row r="256" spans="1:11">
      <c r="A256" t="s">
        <v>264</v>
      </c>
      <c r="B256" s="1">
        <v>45780</v>
      </c>
      <c r="C256" t="s">
        <v>375</v>
      </c>
      <c r="D256" t="s">
        <v>559</v>
      </c>
      <c r="E256" t="s">
        <v>561</v>
      </c>
      <c r="F256" t="s">
        <v>571</v>
      </c>
      <c r="G256">
        <v>7</v>
      </c>
      <c r="H256">
        <v>38372.449999999997</v>
      </c>
      <c r="I256">
        <v>268607.15000000002</v>
      </c>
      <c r="J256">
        <v>64942.47</v>
      </c>
      <c r="K256">
        <f>YEAR(SalesTbl[[#This Row],[Order Date]])</f>
        <v>2025</v>
      </c>
    </row>
    <row r="257" spans="1:11">
      <c r="A257" t="s">
        <v>265</v>
      </c>
      <c r="B257" s="1">
        <v>45787</v>
      </c>
      <c r="C257" t="s">
        <v>525</v>
      </c>
      <c r="D257" t="s">
        <v>557</v>
      </c>
      <c r="E257" t="s">
        <v>561</v>
      </c>
      <c r="F257" t="s">
        <v>581</v>
      </c>
      <c r="G257">
        <v>6</v>
      </c>
      <c r="H257">
        <v>47636.85</v>
      </c>
      <c r="I257">
        <v>285821.09999999998</v>
      </c>
      <c r="J257">
        <v>64499.519999999997</v>
      </c>
      <c r="K257">
        <f>YEAR(SalesTbl[[#This Row],[Order Date]])</f>
        <v>2025</v>
      </c>
    </row>
    <row r="258" spans="1:11">
      <c r="A258" t="s">
        <v>266</v>
      </c>
      <c r="B258" s="1">
        <v>45788</v>
      </c>
      <c r="C258" t="s">
        <v>395</v>
      </c>
      <c r="D258" t="s">
        <v>560</v>
      </c>
      <c r="E258" t="s">
        <v>562</v>
      </c>
      <c r="F258" t="s">
        <v>575</v>
      </c>
      <c r="G258">
        <v>6</v>
      </c>
      <c r="H258">
        <v>49148.53</v>
      </c>
      <c r="I258">
        <v>294891.18</v>
      </c>
      <c r="J258">
        <v>32991.019999999997</v>
      </c>
      <c r="K258">
        <f>YEAR(SalesTbl[[#This Row],[Order Date]])</f>
        <v>2025</v>
      </c>
    </row>
    <row r="259" spans="1:11">
      <c r="A259" t="s">
        <v>267</v>
      </c>
      <c r="B259" s="1">
        <v>45789</v>
      </c>
      <c r="C259" t="s">
        <v>526</v>
      </c>
      <c r="D259" t="s">
        <v>558</v>
      </c>
      <c r="E259" t="s">
        <v>562</v>
      </c>
      <c r="F259" t="s">
        <v>578</v>
      </c>
      <c r="G259">
        <v>2</v>
      </c>
      <c r="H259">
        <v>38826</v>
      </c>
      <c r="I259">
        <v>77652</v>
      </c>
      <c r="J259">
        <v>11997.74</v>
      </c>
      <c r="K259">
        <f>YEAR(SalesTbl[[#This Row],[Order Date]])</f>
        <v>2025</v>
      </c>
    </row>
    <row r="260" spans="1:11">
      <c r="A260" t="s">
        <v>268</v>
      </c>
      <c r="B260" s="1">
        <v>45791</v>
      </c>
      <c r="C260" t="s">
        <v>527</v>
      </c>
      <c r="D260" t="s">
        <v>560</v>
      </c>
      <c r="E260" t="s">
        <v>561</v>
      </c>
      <c r="F260" t="s">
        <v>581</v>
      </c>
      <c r="G260">
        <v>1</v>
      </c>
      <c r="H260">
        <v>43918.559999999998</v>
      </c>
      <c r="I260">
        <v>43918.559999999998</v>
      </c>
      <c r="J260">
        <v>8315.98</v>
      </c>
      <c r="K260">
        <f>YEAR(SalesTbl[[#This Row],[Order Date]])</f>
        <v>2025</v>
      </c>
    </row>
    <row r="261" spans="1:11">
      <c r="A261" t="s">
        <v>269</v>
      </c>
      <c r="B261" s="1">
        <v>45791</v>
      </c>
      <c r="C261" t="s">
        <v>528</v>
      </c>
      <c r="D261" t="s">
        <v>557</v>
      </c>
      <c r="E261" t="s">
        <v>561</v>
      </c>
      <c r="F261" t="s">
        <v>564</v>
      </c>
      <c r="G261">
        <v>8</v>
      </c>
      <c r="H261">
        <v>53630.64</v>
      </c>
      <c r="I261">
        <v>429045.12</v>
      </c>
      <c r="J261">
        <v>57857.13</v>
      </c>
      <c r="K261">
        <f>YEAR(SalesTbl[[#This Row],[Order Date]])</f>
        <v>2025</v>
      </c>
    </row>
    <row r="262" spans="1:11">
      <c r="A262" t="s">
        <v>270</v>
      </c>
      <c r="B262" s="1">
        <v>45792</v>
      </c>
      <c r="C262" t="s">
        <v>529</v>
      </c>
      <c r="D262" t="s">
        <v>558</v>
      </c>
      <c r="E262" t="s">
        <v>561</v>
      </c>
      <c r="F262" t="s">
        <v>580</v>
      </c>
      <c r="G262">
        <v>1</v>
      </c>
      <c r="H262">
        <v>50418.71</v>
      </c>
      <c r="I262">
        <v>50418.71</v>
      </c>
      <c r="J262">
        <v>11165.95</v>
      </c>
      <c r="K262">
        <f>YEAR(SalesTbl[[#This Row],[Order Date]])</f>
        <v>2025</v>
      </c>
    </row>
    <row r="263" spans="1:11">
      <c r="A263" t="s">
        <v>271</v>
      </c>
      <c r="B263" s="1">
        <v>45795</v>
      </c>
      <c r="C263" t="s">
        <v>530</v>
      </c>
      <c r="D263" t="s">
        <v>557</v>
      </c>
      <c r="E263" t="s">
        <v>563</v>
      </c>
      <c r="F263" t="s">
        <v>569</v>
      </c>
      <c r="G263">
        <v>7</v>
      </c>
      <c r="H263">
        <v>2616.0500000000002</v>
      </c>
      <c r="I263">
        <v>18312.349999999999</v>
      </c>
      <c r="J263">
        <v>5540.58</v>
      </c>
      <c r="K263">
        <f>YEAR(SalesTbl[[#This Row],[Order Date]])</f>
        <v>2025</v>
      </c>
    </row>
    <row r="264" spans="1:11">
      <c r="A264" t="s">
        <v>272</v>
      </c>
      <c r="B264" s="1">
        <v>45795</v>
      </c>
      <c r="C264" t="s">
        <v>479</v>
      </c>
      <c r="D264" t="s">
        <v>558</v>
      </c>
      <c r="E264" t="s">
        <v>561</v>
      </c>
      <c r="F264" t="s">
        <v>581</v>
      </c>
      <c r="G264">
        <v>9</v>
      </c>
      <c r="H264">
        <v>40091.81</v>
      </c>
      <c r="I264">
        <v>360826.29</v>
      </c>
      <c r="J264">
        <v>77000.13</v>
      </c>
      <c r="K264">
        <f>YEAR(SalesTbl[[#This Row],[Order Date]])</f>
        <v>2025</v>
      </c>
    </row>
    <row r="265" spans="1:11">
      <c r="A265" t="s">
        <v>273</v>
      </c>
      <c r="B265" s="1">
        <v>45797</v>
      </c>
      <c r="C265" t="s">
        <v>531</v>
      </c>
      <c r="D265" t="s">
        <v>557</v>
      </c>
      <c r="E265" t="s">
        <v>563</v>
      </c>
      <c r="F265" t="s">
        <v>567</v>
      </c>
      <c r="G265">
        <v>6</v>
      </c>
      <c r="H265">
        <v>3129.36</v>
      </c>
      <c r="I265">
        <v>18776.16</v>
      </c>
      <c r="J265">
        <v>5935.72</v>
      </c>
      <c r="K265">
        <f>YEAR(SalesTbl[[#This Row],[Order Date]])</f>
        <v>2025</v>
      </c>
    </row>
    <row r="266" spans="1:11">
      <c r="A266" t="s">
        <v>274</v>
      </c>
      <c r="B266" s="1">
        <v>45798</v>
      </c>
      <c r="C266" t="s">
        <v>532</v>
      </c>
      <c r="D266" t="s">
        <v>558</v>
      </c>
      <c r="E266" t="s">
        <v>562</v>
      </c>
      <c r="F266" t="s">
        <v>575</v>
      </c>
      <c r="G266">
        <v>2</v>
      </c>
      <c r="H266">
        <v>54320.59</v>
      </c>
      <c r="I266">
        <v>108641.18</v>
      </c>
      <c r="J266">
        <v>15463.25</v>
      </c>
      <c r="K266">
        <f>YEAR(SalesTbl[[#This Row],[Order Date]])</f>
        <v>2025</v>
      </c>
    </row>
    <row r="267" spans="1:11">
      <c r="A267" t="s">
        <v>275</v>
      </c>
      <c r="B267" s="1">
        <v>45802</v>
      </c>
      <c r="C267" t="s">
        <v>533</v>
      </c>
      <c r="D267" t="s">
        <v>558</v>
      </c>
      <c r="E267" t="s">
        <v>561</v>
      </c>
      <c r="F267" t="s">
        <v>574</v>
      </c>
      <c r="G267">
        <v>4</v>
      </c>
      <c r="H267">
        <v>50033.919999999998</v>
      </c>
      <c r="I267">
        <v>200135.67999999999</v>
      </c>
      <c r="J267">
        <v>33128.129999999997</v>
      </c>
      <c r="K267">
        <f>YEAR(SalesTbl[[#This Row],[Order Date]])</f>
        <v>2025</v>
      </c>
    </row>
    <row r="268" spans="1:11">
      <c r="A268" t="s">
        <v>276</v>
      </c>
      <c r="B268" s="1">
        <v>45807</v>
      </c>
      <c r="C268" t="s">
        <v>534</v>
      </c>
      <c r="D268" t="s">
        <v>560</v>
      </c>
      <c r="E268" t="s">
        <v>561</v>
      </c>
      <c r="F268" t="s">
        <v>574</v>
      </c>
      <c r="G268">
        <v>1</v>
      </c>
      <c r="H268">
        <v>2508.1999999999998</v>
      </c>
      <c r="I268">
        <v>2508.1999999999998</v>
      </c>
      <c r="J268">
        <v>315.2</v>
      </c>
      <c r="K268">
        <f>YEAR(SalesTbl[[#This Row],[Order Date]])</f>
        <v>2025</v>
      </c>
    </row>
    <row r="269" spans="1:11">
      <c r="A269" t="s">
        <v>277</v>
      </c>
      <c r="B269" s="1">
        <v>45809</v>
      </c>
      <c r="C269" t="s">
        <v>355</v>
      </c>
      <c r="D269" t="s">
        <v>558</v>
      </c>
      <c r="E269" t="s">
        <v>561</v>
      </c>
      <c r="F269" t="s">
        <v>574</v>
      </c>
      <c r="G269">
        <v>2</v>
      </c>
      <c r="H269">
        <v>49601.03</v>
      </c>
      <c r="I269">
        <v>99202.06</v>
      </c>
      <c r="J269">
        <v>15055.49</v>
      </c>
      <c r="K269">
        <f>YEAR(SalesTbl[[#This Row],[Order Date]])</f>
        <v>2025</v>
      </c>
    </row>
    <row r="270" spans="1:11">
      <c r="A270" t="s">
        <v>278</v>
      </c>
      <c r="B270" s="1">
        <v>45810</v>
      </c>
      <c r="C270" t="s">
        <v>535</v>
      </c>
      <c r="D270" t="s">
        <v>557</v>
      </c>
      <c r="E270" t="s">
        <v>563</v>
      </c>
      <c r="F270" t="s">
        <v>568</v>
      </c>
      <c r="G270">
        <v>8</v>
      </c>
      <c r="H270">
        <v>1733.06</v>
      </c>
      <c r="I270">
        <v>13864.48</v>
      </c>
      <c r="J270">
        <v>2667.11</v>
      </c>
      <c r="K270">
        <f>YEAR(SalesTbl[[#This Row],[Order Date]])</f>
        <v>2025</v>
      </c>
    </row>
    <row r="271" spans="1:11">
      <c r="A271" t="s">
        <v>279</v>
      </c>
      <c r="B271" s="1">
        <v>45813</v>
      </c>
      <c r="C271" t="s">
        <v>536</v>
      </c>
      <c r="D271" t="s">
        <v>560</v>
      </c>
      <c r="E271" t="s">
        <v>563</v>
      </c>
      <c r="F271" t="s">
        <v>567</v>
      </c>
      <c r="G271">
        <v>10</v>
      </c>
      <c r="H271">
        <v>2001.23</v>
      </c>
      <c r="I271">
        <v>20012.3</v>
      </c>
      <c r="J271">
        <v>4766.01</v>
      </c>
      <c r="K271">
        <f>YEAR(SalesTbl[[#This Row],[Order Date]])</f>
        <v>2025</v>
      </c>
    </row>
    <row r="272" spans="1:11">
      <c r="A272" t="s">
        <v>280</v>
      </c>
      <c r="B272" s="1">
        <v>45813</v>
      </c>
      <c r="C272" t="s">
        <v>424</v>
      </c>
      <c r="D272" t="s">
        <v>560</v>
      </c>
      <c r="E272" t="s">
        <v>563</v>
      </c>
      <c r="F272" t="s">
        <v>573</v>
      </c>
      <c r="G272">
        <v>4</v>
      </c>
      <c r="H272">
        <v>3799.13</v>
      </c>
      <c r="I272">
        <v>15196.52</v>
      </c>
      <c r="J272">
        <v>2852.41</v>
      </c>
      <c r="K272">
        <f>YEAR(SalesTbl[[#This Row],[Order Date]])</f>
        <v>2025</v>
      </c>
    </row>
    <row r="273" spans="1:11">
      <c r="A273" t="s">
        <v>281</v>
      </c>
      <c r="B273" s="1">
        <v>45815</v>
      </c>
      <c r="C273" t="s">
        <v>537</v>
      </c>
      <c r="D273" t="s">
        <v>557</v>
      </c>
      <c r="E273" t="s">
        <v>561</v>
      </c>
      <c r="F273" t="s">
        <v>574</v>
      </c>
      <c r="G273">
        <v>2</v>
      </c>
      <c r="H273">
        <v>12300.75</v>
      </c>
      <c r="I273">
        <v>24601.5</v>
      </c>
      <c r="J273">
        <v>3363.94</v>
      </c>
      <c r="K273">
        <f>YEAR(SalesTbl[[#This Row],[Order Date]])</f>
        <v>2025</v>
      </c>
    </row>
    <row r="274" spans="1:11">
      <c r="A274" t="s">
        <v>282</v>
      </c>
      <c r="B274" s="1">
        <v>45816</v>
      </c>
      <c r="C274" t="s">
        <v>497</v>
      </c>
      <c r="D274" t="s">
        <v>557</v>
      </c>
      <c r="E274" t="s">
        <v>562</v>
      </c>
      <c r="F274" t="s">
        <v>579</v>
      </c>
      <c r="G274">
        <v>3</v>
      </c>
      <c r="H274">
        <v>66981.929999999993</v>
      </c>
      <c r="I274">
        <v>200945.79</v>
      </c>
      <c r="J274">
        <v>18147.89</v>
      </c>
      <c r="K274">
        <f>YEAR(SalesTbl[[#This Row],[Order Date]])</f>
        <v>2025</v>
      </c>
    </row>
    <row r="275" spans="1:11">
      <c r="A275" t="s">
        <v>283</v>
      </c>
      <c r="B275" s="1">
        <v>45817</v>
      </c>
      <c r="C275" t="s">
        <v>418</v>
      </c>
      <c r="D275" t="s">
        <v>560</v>
      </c>
      <c r="E275" t="s">
        <v>563</v>
      </c>
      <c r="F275" t="s">
        <v>567</v>
      </c>
      <c r="G275">
        <v>3</v>
      </c>
      <c r="H275">
        <v>633.57000000000005</v>
      </c>
      <c r="I275">
        <v>1900.71</v>
      </c>
      <c r="J275">
        <v>572.63</v>
      </c>
      <c r="K275">
        <f>YEAR(SalesTbl[[#This Row],[Order Date]])</f>
        <v>2025</v>
      </c>
    </row>
    <row r="276" spans="1:11">
      <c r="A276" t="s">
        <v>284</v>
      </c>
      <c r="B276" s="1">
        <v>45822</v>
      </c>
      <c r="C276" t="s">
        <v>407</v>
      </c>
      <c r="D276" t="s">
        <v>558</v>
      </c>
      <c r="E276" t="s">
        <v>561</v>
      </c>
      <c r="F276" t="s">
        <v>574</v>
      </c>
      <c r="G276">
        <v>3</v>
      </c>
      <c r="H276">
        <v>7182.42</v>
      </c>
      <c r="I276">
        <v>21547.26</v>
      </c>
      <c r="J276">
        <v>3296.27</v>
      </c>
      <c r="K276">
        <f>YEAR(SalesTbl[[#This Row],[Order Date]])</f>
        <v>2025</v>
      </c>
    </row>
    <row r="277" spans="1:11">
      <c r="A277" t="s">
        <v>285</v>
      </c>
      <c r="B277" s="1">
        <v>45823</v>
      </c>
      <c r="C277" t="s">
        <v>470</v>
      </c>
      <c r="D277" t="s">
        <v>559</v>
      </c>
      <c r="E277" t="s">
        <v>563</v>
      </c>
      <c r="F277" t="s">
        <v>569</v>
      </c>
      <c r="G277">
        <v>9</v>
      </c>
      <c r="H277">
        <v>347.97</v>
      </c>
      <c r="I277">
        <v>3131.73</v>
      </c>
      <c r="J277">
        <v>679.14</v>
      </c>
      <c r="K277">
        <f>YEAR(SalesTbl[[#This Row],[Order Date]])</f>
        <v>2025</v>
      </c>
    </row>
    <row r="278" spans="1:11">
      <c r="A278" t="s">
        <v>286</v>
      </c>
      <c r="B278" s="1">
        <v>45825</v>
      </c>
      <c r="C278" t="s">
        <v>412</v>
      </c>
      <c r="D278" t="s">
        <v>559</v>
      </c>
      <c r="E278" t="s">
        <v>563</v>
      </c>
      <c r="F278" t="s">
        <v>566</v>
      </c>
      <c r="G278">
        <v>1</v>
      </c>
      <c r="H278">
        <v>400.38</v>
      </c>
      <c r="I278">
        <v>400.38</v>
      </c>
      <c r="J278">
        <v>108.44</v>
      </c>
      <c r="K278">
        <f>YEAR(SalesTbl[[#This Row],[Order Date]])</f>
        <v>2025</v>
      </c>
    </row>
    <row r="279" spans="1:11">
      <c r="A279" t="s">
        <v>287</v>
      </c>
      <c r="B279" s="1">
        <v>45833</v>
      </c>
      <c r="C279" t="s">
        <v>538</v>
      </c>
      <c r="D279" t="s">
        <v>557</v>
      </c>
      <c r="E279" t="s">
        <v>563</v>
      </c>
      <c r="F279" t="s">
        <v>569</v>
      </c>
      <c r="G279">
        <v>3</v>
      </c>
      <c r="H279">
        <v>2507.2399999999998</v>
      </c>
      <c r="I279">
        <v>7521.72</v>
      </c>
      <c r="J279">
        <v>2245.98</v>
      </c>
      <c r="K279">
        <f>YEAR(SalesTbl[[#This Row],[Order Date]])</f>
        <v>2025</v>
      </c>
    </row>
    <row r="280" spans="1:11">
      <c r="A280" t="s">
        <v>288</v>
      </c>
      <c r="B280" s="1">
        <v>45841</v>
      </c>
      <c r="C280" t="s">
        <v>539</v>
      </c>
      <c r="D280" t="s">
        <v>560</v>
      </c>
      <c r="E280" t="s">
        <v>563</v>
      </c>
      <c r="F280" t="s">
        <v>567</v>
      </c>
      <c r="G280">
        <v>1</v>
      </c>
      <c r="H280">
        <v>1676.77</v>
      </c>
      <c r="I280">
        <v>1676.77</v>
      </c>
      <c r="J280">
        <v>544.32000000000005</v>
      </c>
      <c r="K280">
        <f>YEAR(SalesTbl[[#This Row],[Order Date]])</f>
        <v>2025</v>
      </c>
    </row>
    <row r="281" spans="1:11">
      <c r="A281" t="s">
        <v>289</v>
      </c>
      <c r="B281" s="1">
        <v>45848</v>
      </c>
      <c r="C281" t="s">
        <v>482</v>
      </c>
      <c r="D281" t="s">
        <v>557</v>
      </c>
      <c r="E281" t="s">
        <v>561</v>
      </c>
      <c r="F281" t="s">
        <v>581</v>
      </c>
      <c r="G281">
        <v>10</v>
      </c>
      <c r="H281">
        <v>38723.96</v>
      </c>
      <c r="I281">
        <v>387239.6</v>
      </c>
      <c r="J281">
        <v>51796.56</v>
      </c>
      <c r="K281">
        <f>YEAR(SalesTbl[[#This Row],[Order Date]])</f>
        <v>2025</v>
      </c>
    </row>
    <row r="282" spans="1:11">
      <c r="A282" t="s">
        <v>290</v>
      </c>
      <c r="B282" s="1">
        <v>45849</v>
      </c>
      <c r="C282" t="s">
        <v>341</v>
      </c>
      <c r="D282" t="s">
        <v>558</v>
      </c>
      <c r="E282" t="s">
        <v>562</v>
      </c>
      <c r="F282" t="s">
        <v>578</v>
      </c>
      <c r="G282">
        <v>6</v>
      </c>
      <c r="H282">
        <v>8243.73</v>
      </c>
      <c r="I282">
        <v>49462.38</v>
      </c>
      <c r="J282">
        <v>8654.93</v>
      </c>
      <c r="K282">
        <f>YEAR(SalesTbl[[#This Row],[Order Date]])</f>
        <v>2025</v>
      </c>
    </row>
    <row r="283" spans="1:11">
      <c r="A283" t="s">
        <v>291</v>
      </c>
      <c r="B283" s="1">
        <v>45852</v>
      </c>
      <c r="C283" t="s">
        <v>432</v>
      </c>
      <c r="D283" t="s">
        <v>558</v>
      </c>
      <c r="E283" t="s">
        <v>561</v>
      </c>
      <c r="F283" t="s">
        <v>581</v>
      </c>
      <c r="G283">
        <v>10</v>
      </c>
      <c r="H283">
        <v>29432.880000000001</v>
      </c>
      <c r="I283">
        <v>294328.8</v>
      </c>
      <c r="J283">
        <v>37105.01</v>
      </c>
      <c r="K283">
        <f>YEAR(SalesTbl[[#This Row],[Order Date]])</f>
        <v>2025</v>
      </c>
    </row>
    <row r="284" spans="1:11">
      <c r="A284" t="s">
        <v>292</v>
      </c>
      <c r="B284" s="1">
        <v>45854</v>
      </c>
      <c r="C284" t="s">
        <v>362</v>
      </c>
      <c r="D284" t="s">
        <v>559</v>
      </c>
      <c r="E284" t="s">
        <v>563</v>
      </c>
      <c r="F284" t="s">
        <v>573</v>
      </c>
      <c r="G284">
        <v>2</v>
      </c>
      <c r="H284">
        <v>3573.58</v>
      </c>
      <c r="I284">
        <v>7147.16</v>
      </c>
      <c r="J284">
        <v>1711.84</v>
      </c>
      <c r="K284">
        <f>YEAR(SalesTbl[[#This Row],[Order Date]])</f>
        <v>2025</v>
      </c>
    </row>
    <row r="285" spans="1:11">
      <c r="A285" t="s">
        <v>293</v>
      </c>
      <c r="B285" s="1">
        <v>45855</v>
      </c>
      <c r="C285" t="s">
        <v>540</v>
      </c>
      <c r="D285" t="s">
        <v>558</v>
      </c>
      <c r="E285" t="s">
        <v>563</v>
      </c>
      <c r="F285" t="s">
        <v>569</v>
      </c>
      <c r="G285">
        <v>8</v>
      </c>
      <c r="H285">
        <v>306.7</v>
      </c>
      <c r="I285">
        <v>2453.6</v>
      </c>
      <c r="J285">
        <v>834.87</v>
      </c>
      <c r="K285">
        <f>YEAR(SalesTbl[[#This Row],[Order Date]])</f>
        <v>2025</v>
      </c>
    </row>
    <row r="286" spans="1:11">
      <c r="A286" t="s">
        <v>294</v>
      </c>
      <c r="B286" s="1">
        <v>45856</v>
      </c>
      <c r="C286" t="s">
        <v>541</v>
      </c>
      <c r="D286" t="s">
        <v>559</v>
      </c>
      <c r="E286" t="s">
        <v>561</v>
      </c>
      <c r="F286" t="s">
        <v>564</v>
      </c>
      <c r="G286">
        <v>7</v>
      </c>
      <c r="H286">
        <v>13622.09</v>
      </c>
      <c r="I286">
        <v>95354.63</v>
      </c>
      <c r="J286">
        <v>19004.14</v>
      </c>
      <c r="K286">
        <f>YEAR(SalesTbl[[#This Row],[Order Date]])</f>
        <v>2025</v>
      </c>
    </row>
    <row r="287" spans="1:11">
      <c r="A287" t="s">
        <v>295</v>
      </c>
      <c r="B287" s="1">
        <v>45857</v>
      </c>
      <c r="C287" t="s">
        <v>416</v>
      </c>
      <c r="D287" t="s">
        <v>560</v>
      </c>
      <c r="E287" t="s">
        <v>563</v>
      </c>
      <c r="F287" t="s">
        <v>573</v>
      </c>
      <c r="G287">
        <v>8</v>
      </c>
      <c r="H287">
        <v>2799.32</v>
      </c>
      <c r="I287">
        <v>22394.560000000001</v>
      </c>
      <c r="J287">
        <v>4299.1000000000004</v>
      </c>
      <c r="K287">
        <f>YEAR(SalesTbl[[#This Row],[Order Date]])</f>
        <v>2025</v>
      </c>
    </row>
    <row r="288" spans="1:11">
      <c r="A288" t="s">
        <v>296</v>
      </c>
      <c r="B288" s="1">
        <v>45858</v>
      </c>
      <c r="C288" t="s">
        <v>507</v>
      </c>
      <c r="D288" t="s">
        <v>558</v>
      </c>
      <c r="E288" t="s">
        <v>561</v>
      </c>
      <c r="F288" t="s">
        <v>581</v>
      </c>
      <c r="G288">
        <v>5</v>
      </c>
      <c r="H288">
        <v>13433.88</v>
      </c>
      <c r="I288">
        <v>67169.399999999994</v>
      </c>
      <c r="J288">
        <v>11372.43</v>
      </c>
      <c r="K288">
        <f>YEAR(SalesTbl[[#This Row],[Order Date]])</f>
        <v>2025</v>
      </c>
    </row>
    <row r="289" spans="1:11">
      <c r="A289" t="s">
        <v>297</v>
      </c>
      <c r="B289" s="1">
        <v>45859</v>
      </c>
      <c r="C289" t="s">
        <v>356</v>
      </c>
      <c r="D289" t="s">
        <v>559</v>
      </c>
      <c r="E289" t="s">
        <v>561</v>
      </c>
      <c r="F289" t="s">
        <v>581</v>
      </c>
      <c r="G289">
        <v>8</v>
      </c>
      <c r="H289">
        <v>36821.629999999997</v>
      </c>
      <c r="I289">
        <v>294573.03999999998</v>
      </c>
      <c r="J289">
        <v>57013.18</v>
      </c>
      <c r="K289">
        <f>YEAR(SalesTbl[[#This Row],[Order Date]])</f>
        <v>2025</v>
      </c>
    </row>
    <row r="290" spans="1:11">
      <c r="A290" t="s">
        <v>298</v>
      </c>
      <c r="B290" s="1">
        <v>45862</v>
      </c>
      <c r="C290" t="s">
        <v>542</v>
      </c>
      <c r="D290" t="s">
        <v>560</v>
      </c>
      <c r="E290" t="s">
        <v>563</v>
      </c>
      <c r="F290" t="s">
        <v>573</v>
      </c>
      <c r="G290">
        <v>10</v>
      </c>
      <c r="H290">
        <v>3951.29</v>
      </c>
      <c r="I290">
        <v>39512.9</v>
      </c>
      <c r="J290">
        <v>7377.16</v>
      </c>
      <c r="K290">
        <f>YEAR(SalesTbl[[#This Row],[Order Date]])</f>
        <v>2025</v>
      </c>
    </row>
    <row r="291" spans="1:11">
      <c r="A291" t="s">
        <v>299</v>
      </c>
      <c r="B291" s="1">
        <v>45866</v>
      </c>
      <c r="C291" t="s">
        <v>543</v>
      </c>
      <c r="D291" t="s">
        <v>560</v>
      </c>
      <c r="E291" t="s">
        <v>563</v>
      </c>
      <c r="F291" t="s">
        <v>566</v>
      </c>
      <c r="G291">
        <v>1</v>
      </c>
      <c r="H291">
        <v>3588.27</v>
      </c>
      <c r="I291">
        <v>3588.27</v>
      </c>
      <c r="J291">
        <v>837.65</v>
      </c>
      <c r="K291">
        <f>YEAR(SalesTbl[[#This Row],[Order Date]])</f>
        <v>2025</v>
      </c>
    </row>
    <row r="292" spans="1:11">
      <c r="A292" t="s">
        <v>300</v>
      </c>
      <c r="B292" s="1">
        <v>45866</v>
      </c>
      <c r="C292" t="s">
        <v>544</v>
      </c>
      <c r="D292" t="s">
        <v>559</v>
      </c>
      <c r="E292" t="s">
        <v>561</v>
      </c>
      <c r="F292" t="s">
        <v>582</v>
      </c>
      <c r="G292">
        <v>10</v>
      </c>
      <c r="H292">
        <v>23500.35</v>
      </c>
      <c r="I292">
        <v>235003.5</v>
      </c>
      <c r="J292">
        <v>56302.43</v>
      </c>
      <c r="K292">
        <f>YEAR(SalesTbl[[#This Row],[Order Date]])</f>
        <v>2025</v>
      </c>
    </row>
    <row r="293" spans="1:11">
      <c r="A293" t="s">
        <v>301</v>
      </c>
      <c r="B293" s="1">
        <v>45866</v>
      </c>
      <c r="C293" t="s">
        <v>545</v>
      </c>
      <c r="D293" t="s">
        <v>557</v>
      </c>
      <c r="E293" t="s">
        <v>563</v>
      </c>
      <c r="F293" t="s">
        <v>573</v>
      </c>
      <c r="G293">
        <v>3</v>
      </c>
      <c r="H293">
        <v>960.75</v>
      </c>
      <c r="I293">
        <v>2882.25</v>
      </c>
      <c r="J293">
        <v>770.01</v>
      </c>
      <c r="K293">
        <f>YEAR(SalesTbl[[#This Row],[Order Date]])</f>
        <v>2025</v>
      </c>
    </row>
    <row r="294" spans="1:11">
      <c r="A294" t="s">
        <v>302</v>
      </c>
      <c r="B294" s="1">
        <v>45869</v>
      </c>
      <c r="C294" t="s">
        <v>356</v>
      </c>
      <c r="D294" t="s">
        <v>557</v>
      </c>
      <c r="E294" t="s">
        <v>561</v>
      </c>
      <c r="F294" t="s">
        <v>564</v>
      </c>
      <c r="G294">
        <v>7</v>
      </c>
      <c r="H294">
        <v>44511.4</v>
      </c>
      <c r="I294">
        <v>311579.8</v>
      </c>
      <c r="J294">
        <v>42913.35</v>
      </c>
      <c r="K294">
        <f>YEAR(SalesTbl[[#This Row],[Order Date]])</f>
        <v>2025</v>
      </c>
    </row>
    <row r="295" spans="1:11">
      <c r="A295" t="s">
        <v>303</v>
      </c>
      <c r="B295" s="1">
        <v>45870</v>
      </c>
      <c r="C295" t="s">
        <v>519</v>
      </c>
      <c r="D295" t="s">
        <v>557</v>
      </c>
      <c r="E295" t="s">
        <v>562</v>
      </c>
      <c r="F295" t="s">
        <v>565</v>
      </c>
      <c r="G295">
        <v>8</v>
      </c>
      <c r="H295">
        <v>57052.160000000003</v>
      </c>
      <c r="I295">
        <v>456417.28000000003</v>
      </c>
      <c r="J295">
        <v>68175.850000000006</v>
      </c>
      <c r="K295">
        <f>YEAR(SalesTbl[[#This Row],[Order Date]])</f>
        <v>2025</v>
      </c>
    </row>
    <row r="296" spans="1:11">
      <c r="A296" t="s">
        <v>304</v>
      </c>
      <c r="B296" s="1">
        <v>45876</v>
      </c>
      <c r="C296" t="s">
        <v>383</v>
      </c>
      <c r="D296" t="s">
        <v>558</v>
      </c>
      <c r="E296" t="s">
        <v>561</v>
      </c>
      <c r="F296" t="s">
        <v>581</v>
      </c>
      <c r="G296">
        <v>9</v>
      </c>
      <c r="H296">
        <v>7089.36</v>
      </c>
      <c r="I296">
        <v>63804.24</v>
      </c>
      <c r="J296">
        <v>13293.88</v>
      </c>
      <c r="K296">
        <f>YEAR(SalesTbl[[#This Row],[Order Date]])</f>
        <v>2025</v>
      </c>
    </row>
    <row r="297" spans="1:11">
      <c r="A297" t="s">
        <v>305</v>
      </c>
      <c r="B297" s="1">
        <v>45879</v>
      </c>
      <c r="C297" t="s">
        <v>546</v>
      </c>
      <c r="D297" t="s">
        <v>559</v>
      </c>
      <c r="E297" t="s">
        <v>561</v>
      </c>
      <c r="F297" t="s">
        <v>574</v>
      </c>
      <c r="G297">
        <v>10</v>
      </c>
      <c r="H297">
        <v>12305.46</v>
      </c>
      <c r="I297">
        <v>123054.6</v>
      </c>
      <c r="J297">
        <v>17006.439999999999</v>
      </c>
      <c r="K297">
        <f>YEAR(SalesTbl[[#This Row],[Order Date]])</f>
        <v>2025</v>
      </c>
    </row>
    <row r="298" spans="1:11">
      <c r="A298" t="s">
        <v>306</v>
      </c>
      <c r="B298" s="1">
        <v>45881</v>
      </c>
      <c r="C298" t="s">
        <v>547</v>
      </c>
      <c r="D298" t="s">
        <v>557</v>
      </c>
      <c r="E298" t="s">
        <v>562</v>
      </c>
      <c r="F298" t="s">
        <v>579</v>
      </c>
      <c r="G298">
        <v>2</v>
      </c>
      <c r="H298">
        <v>64694.239999999998</v>
      </c>
      <c r="I298">
        <v>129388.48</v>
      </c>
      <c r="J298">
        <v>17136.080000000002</v>
      </c>
      <c r="K298">
        <f>YEAR(SalesTbl[[#This Row],[Order Date]])</f>
        <v>2025</v>
      </c>
    </row>
    <row r="299" spans="1:11">
      <c r="A299" t="s">
        <v>307</v>
      </c>
      <c r="B299" s="1">
        <v>45887</v>
      </c>
      <c r="C299" t="s">
        <v>358</v>
      </c>
      <c r="D299" t="s">
        <v>557</v>
      </c>
      <c r="E299" t="s">
        <v>561</v>
      </c>
      <c r="F299" t="s">
        <v>564</v>
      </c>
      <c r="G299">
        <v>5</v>
      </c>
      <c r="H299">
        <v>14899.67</v>
      </c>
      <c r="I299">
        <v>74498.350000000006</v>
      </c>
      <c r="J299">
        <v>8966.06</v>
      </c>
      <c r="K299">
        <f>YEAR(SalesTbl[[#This Row],[Order Date]])</f>
        <v>2025</v>
      </c>
    </row>
    <row r="300" spans="1:11">
      <c r="A300" t="s">
        <v>308</v>
      </c>
      <c r="B300" s="1">
        <v>45892</v>
      </c>
      <c r="C300" t="s">
        <v>533</v>
      </c>
      <c r="D300" t="s">
        <v>560</v>
      </c>
      <c r="E300" t="s">
        <v>563</v>
      </c>
      <c r="F300" t="s">
        <v>568</v>
      </c>
      <c r="G300">
        <v>9</v>
      </c>
      <c r="H300">
        <v>3514.94</v>
      </c>
      <c r="I300">
        <v>31634.46</v>
      </c>
      <c r="J300">
        <v>9367.18</v>
      </c>
      <c r="K300">
        <f>YEAR(SalesTbl[[#This Row],[Order Date]])</f>
        <v>2025</v>
      </c>
    </row>
    <row r="301" spans="1:11">
      <c r="A301" t="s">
        <v>309</v>
      </c>
      <c r="B301" s="1">
        <v>45893</v>
      </c>
      <c r="C301" t="s">
        <v>476</v>
      </c>
      <c r="D301" t="s">
        <v>560</v>
      </c>
      <c r="E301" t="s">
        <v>562</v>
      </c>
      <c r="F301" t="s">
        <v>572</v>
      </c>
      <c r="G301">
        <v>3</v>
      </c>
      <c r="H301">
        <v>31645.27</v>
      </c>
      <c r="I301">
        <v>94935.81</v>
      </c>
      <c r="J301">
        <v>10270.68</v>
      </c>
      <c r="K301">
        <f>YEAR(SalesTbl[[#This Row],[Order Date]])</f>
        <v>2025</v>
      </c>
    </row>
    <row r="302" spans="1:11">
      <c r="A302" t="s">
        <v>310</v>
      </c>
      <c r="B302" s="1">
        <v>45895</v>
      </c>
      <c r="C302" t="s">
        <v>548</v>
      </c>
      <c r="D302" t="s">
        <v>559</v>
      </c>
      <c r="E302" t="s">
        <v>561</v>
      </c>
      <c r="F302" t="s">
        <v>564</v>
      </c>
      <c r="G302">
        <v>9</v>
      </c>
      <c r="H302">
        <v>21344.62</v>
      </c>
      <c r="I302">
        <v>192101.58</v>
      </c>
      <c r="J302">
        <v>33644.089999999997</v>
      </c>
      <c r="K302">
        <f>YEAR(SalesTbl[[#This Row],[Order Date]])</f>
        <v>2025</v>
      </c>
    </row>
    <row r="303" spans="1:11">
      <c r="A303" t="s">
        <v>311</v>
      </c>
      <c r="B303" s="1">
        <v>45898</v>
      </c>
      <c r="C303" t="s">
        <v>447</v>
      </c>
      <c r="D303" t="s">
        <v>560</v>
      </c>
      <c r="E303" t="s">
        <v>562</v>
      </c>
      <c r="F303" t="s">
        <v>577</v>
      </c>
      <c r="G303">
        <v>1</v>
      </c>
      <c r="H303">
        <v>86780.37</v>
      </c>
      <c r="I303">
        <v>86780.37</v>
      </c>
      <c r="J303">
        <v>7596.29</v>
      </c>
      <c r="K303">
        <f>YEAR(SalesTbl[[#This Row],[Order Date]])</f>
        <v>2025</v>
      </c>
    </row>
    <row r="304" spans="1:11">
      <c r="A304" t="s">
        <v>312</v>
      </c>
      <c r="B304" s="1">
        <v>45900</v>
      </c>
      <c r="C304" t="s">
        <v>406</v>
      </c>
      <c r="D304" t="s">
        <v>560</v>
      </c>
      <c r="E304" t="s">
        <v>561</v>
      </c>
      <c r="F304" t="s">
        <v>574</v>
      </c>
      <c r="G304">
        <v>1</v>
      </c>
      <c r="H304">
        <v>32237.43</v>
      </c>
      <c r="I304">
        <v>32237.43</v>
      </c>
      <c r="J304">
        <v>4686.7299999999996</v>
      </c>
      <c r="K304">
        <f>YEAR(SalesTbl[[#This Row],[Order Date]])</f>
        <v>2025</v>
      </c>
    </row>
    <row r="305" spans="1:11">
      <c r="A305" t="s">
        <v>313</v>
      </c>
      <c r="B305" s="1">
        <v>45901</v>
      </c>
      <c r="C305" t="s">
        <v>549</v>
      </c>
      <c r="D305" t="s">
        <v>558</v>
      </c>
      <c r="E305" t="s">
        <v>561</v>
      </c>
      <c r="F305" t="s">
        <v>580</v>
      </c>
      <c r="G305">
        <v>1</v>
      </c>
      <c r="H305">
        <v>35283.9</v>
      </c>
      <c r="I305">
        <v>35283.9</v>
      </c>
      <c r="J305">
        <v>4925.3999999999996</v>
      </c>
      <c r="K305">
        <f>YEAR(SalesTbl[[#This Row],[Order Date]])</f>
        <v>2025</v>
      </c>
    </row>
    <row r="306" spans="1:11">
      <c r="A306" t="s">
        <v>314</v>
      </c>
      <c r="B306" s="1">
        <v>45901</v>
      </c>
      <c r="C306" t="s">
        <v>550</v>
      </c>
      <c r="D306" t="s">
        <v>559</v>
      </c>
      <c r="E306" t="s">
        <v>561</v>
      </c>
      <c r="F306" t="s">
        <v>574</v>
      </c>
      <c r="G306">
        <v>9</v>
      </c>
      <c r="H306">
        <v>33507.81</v>
      </c>
      <c r="I306">
        <v>301570.28999999998</v>
      </c>
      <c r="J306">
        <v>55566.01</v>
      </c>
      <c r="K306">
        <f>YEAR(SalesTbl[[#This Row],[Order Date]])</f>
        <v>2025</v>
      </c>
    </row>
    <row r="307" spans="1:11">
      <c r="A307" t="s">
        <v>315</v>
      </c>
      <c r="B307" s="1">
        <v>45904</v>
      </c>
      <c r="C307" t="s">
        <v>369</v>
      </c>
      <c r="D307" t="s">
        <v>558</v>
      </c>
      <c r="E307" t="s">
        <v>563</v>
      </c>
      <c r="F307" t="s">
        <v>570</v>
      </c>
      <c r="G307">
        <v>3</v>
      </c>
      <c r="H307">
        <v>3888.26</v>
      </c>
      <c r="I307">
        <v>11664.78</v>
      </c>
      <c r="J307">
        <v>3608.31</v>
      </c>
      <c r="K307">
        <f>YEAR(SalesTbl[[#This Row],[Order Date]])</f>
        <v>2025</v>
      </c>
    </row>
    <row r="308" spans="1:11">
      <c r="A308" t="s">
        <v>316</v>
      </c>
      <c r="B308" s="1">
        <v>45906</v>
      </c>
      <c r="C308" t="s">
        <v>439</v>
      </c>
      <c r="D308" t="s">
        <v>558</v>
      </c>
      <c r="E308" t="s">
        <v>562</v>
      </c>
      <c r="F308" t="s">
        <v>578</v>
      </c>
      <c r="G308">
        <v>7</v>
      </c>
      <c r="H308">
        <v>40956.199999999997</v>
      </c>
      <c r="I308">
        <v>286693.40000000002</v>
      </c>
      <c r="J308">
        <v>24600.69</v>
      </c>
      <c r="K308">
        <f>YEAR(SalesTbl[[#This Row],[Order Date]])</f>
        <v>2025</v>
      </c>
    </row>
    <row r="309" spans="1:11">
      <c r="A309" t="s">
        <v>317</v>
      </c>
      <c r="B309" s="1">
        <v>45906</v>
      </c>
      <c r="C309" t="s">
        <v>551</v>
      </c>
      <c r="D309" t="s">
        <v>560</v>
      </c>
      <c r="E309" t="s">
        <v>563</v>
      </c>
      <c r="F309" t="s">
        <v>570</v>
      </c>
      <c r="G309">
        <v>8</v>
      </c>
      <c r="H309">
        <v>196.18</v>
      </c>
      <c r="I309">
        <v>1569.44</v>
      </c>
      <c r="J309">
        <v>343.87</v>
      </c>
      <c r="K309">
        <f>YEAR(SalesTbl[[#This Row],[Order Date]])</f>
        <v>2025</v>
      </c>
    </row>
    <row r="310" spans="1:11">
      <c r="A310" t="s">
        <v>318</v>
      </c>
      <c r="B310" s="1">
        <v>45907</v>
      </c>
      <c r="C310" t="s">
        <v>418</v>
      </c>
      <c r="D310" t="s">
        <v>560</v>
      </c>
      <c r="E310" t="s">
        <v>562</v>
      </c>
      <c r="F310" t="s">
        <v>577</v>
      </c>
      <c r="G310">
        <v>7</v>
      </c>
      <c r="H310">
        <v>21768.75</v>
      </c>
      <c r="I310">
        <v>152381.25</v>
      </c>
      <c r="J310">
        <v>13971.81</v>
      </c>
      <c r="K310">
        <f>YEAR(SalesTbl[[#This Row],[Order Date]])</f>
        <v>2025</v>
      </c>
    </row>
    <row r="311" spans="1:11">
      <c r="A311" t="s">
        <v>319</v>
      </c>
      <c r="B311" s="1">
        <v>45913</v>
      </c>
      <c r="C311" t="s">
        <v>552</v>
      </c>
      <c r="D311" t="s">
        <v>558</v>
      </c>
      <c r="E311" t="s">
        <v>562</v>
      </c>
      <c r="F311" t="s">
        <v>579</v>
      </c>
      <c r="G311">
        <v>7</v>
      </c>
      <c r="H311">
        <v>17989.400000000001</v>
      </c>
      <c r="I311">
        <v>125925.8</v>
      </c>
      <c r="J311">
        <v>21669.84</v>
      </c>
      <c r="K311">
        <f>YEAR(SalesTbl[[#This Row],[Order Date]])</f>
        <v>2025</v>
      </c>
    </row>
    <row r="312" spans="1:11">
      <c r="A312" t="s">
        <v>320</v>
      </c>
      <c r="B312" s="1">
        <v>45914</v>
      </c>
      <c r="C312" t="s">
        <v>553</v>
      </c>
      <c r="D312" t="s">
        <v>559</v>
      </c>
      <c r="E312" t="s">
        <v>563</v>
      </c>
      <c r="F312" t="s">
        <v>568</v>
      </c>
      <c r="G312">
        <v>2</v>
      </c>
      <c r="H312">
        <v>3385.54</v>
      </c>
      <c r="I312">
        <v>6771.08</v>
      </c>
      <c r="J312">
        <v>1733.8</v>
      </c>
      <c r="K312">
        <f>YEAR(SalesTbl[[#This Row],[Order Date]])</f>
        <v>2025</v>
      </c>
    </row>
    <row r="313" spans="1:11">
      <c r="A313" t="s">
        <v>321</v>
      </c>
      <c r="B313" s="1">
        <v>45914</v>
      </c>
      <c r="C313" t="s">
        <v>441</v>
      </c>
      <c r="D313" t="s">
        <v>558</v>
      </c>
      <c r="E313" t="s">
        <v>563</v>
      </c>
      <c r="F313" t="s">
        <v>573</v>
      </c>
      <c r="G313">
        <v>4</v>
      </c>
      <c r="H313">
        <v>2918.08</v>
      </c>
      <c r="I313">
        <v>11672.32</v>
      </c>
      <c r="J313">
        <v>3924.09</v>
      </c>
      <c r="K313">
        <f>YEAR(SalesTbl[[#This Row],[Order Date]])</f>
        <v>2025</v>
      </c>
    </row>
    <row r="314" spans="1:11">
      <c r="A314" t="s">
        <v>322</v>
      </c>
      <c r="B314" s="1">
        <v>45915</v>
      </c>
      <c r="C314" t="s">
        <v>501</v>
      </c>
      <c r="D314" t="s">
        <v>560</v>
      </c>
      <c r="E314" t="s">
        <v>563</v>
      </c>
      <c r="F314" t="s">
        <v>569</v>
      </c>
      <c r="G314">
        <v>8</v>
      </c>
      <c r="H314">
        <v>684.69</v>
      </c>
      <c r="I314">
        <v>5477.52</v>
      </c>
      <c r="J314">
        <v>1821</v>
      </c>
      <c r="K314">
        <f>YEAR(SalesTbl[[#This Row],[Order Date]])</f>
        <v>2025</v>
      </c>
    </row>
    <row r="315" spans="1:11">
      <c r="A315" t="s">
        <v>323</v>
      </c>
      <c r="B315" s="1">
        <v>45917</v>
      </c>
      <c r="C315" t="s">
        <v>554</v>
      </c>
      <c r="D315" t="s">
        <v>559</v>
      </c>
      <c r="E315" t="s">
        <v>562</v>
      </c>
      <c r="F315" t="s">
        <v>578</v>
      </c>
      <c r="G315">
        <v>6</v>
      </c>
      <c r="H315">
        <v>55928.14</v>
      </c>
      <c r="I315">
        <v>335568.84</v>
      </c>
      <c r="J315">
        <v>38880.58</v>
      </c>
      <c r="K315">
        <f>YEAR(SalesTbl[[#This Row],[Order Date]])</f>
        <v>2025</v>
      </c>
    </row>
    <row r="316" spans="1:11">
      <c r="A316" t="s">
        <v>324</v>
      </c>
      <c r="B316" s="1">
        <v>45918</v>
      </c>
      <c r="C316" t="s">
        <v>459</v>
      </c>
      <c r="D316" t="s">
        <v>558</v>
      </c>
      <c r="E316" t="s">
        <v>562</v>
      </c>
      <c r="F316" t="s">
        <v>565</v>
      </c>
      <c r="G316">
        <v>4</v>
      </c>
      <c r="H316">
        <v>62914.44</v>
      </c>
      <c r="I316">
        <v>251657.76</v>
      </c>
      <c r="J316">
        <v>38155.82</v>
      </c>
      <c r="K316">
        <f>YEAR(SalesTbl[[#This Row],[Order Date]])</f>
        <v>2025</v>
      </c>
    </row>
    <row r="317" spans="1:11">
      <c r="A317" t="s">
        <v>325</v>
      </c>
      <c r="B317" s="1">
        <v>45919</v>
      </c>
      <c r="C317" t="s">
        <v>555</v>
      </c>
      <c r="D317" t="s">
        <v>558</v>
      </c>
      <c r="E317" t="s">
        <v>561</v>
      </c>
      <c r="F317" t="s">
        <v>564</v>
      </c>
      <c r="G317">
        <v>8</v>
      </c>
      <c r="H317">
        <v>5726.73</v>
      </c>
      <c r="I317">
        <v>45813.84</v>
      </c>
      <c r="J317">
        <v>10174.99</v>
      </c>
      <c r="K317">
        <f>YEAR(SalesTbl[[#This Row],[Order Date]])</f>
        <v>2025</v>
      </c>
    </row>
    <row r="318" spans="1:11">
      <c r="A318" t="s">
        <v>326</v>
      </c>
      <c r="B318" s="1">
        <v>45924</v>
      </c>
      <c r="C318" t="s">
        <v>333</v>
      </c>
      <c r="D318" t="s">
        <v>559</v>
      </c>
      <c r="E318" t="s">
        <v>563</v>
      </c>
      <c r="F318" t="s">
        <v>570</v>
      </c>
      <c r="G318">
        <v>9</v>
      </c>
      <c r="H318">
        <v>3281.16</v>
      </c>
      <c r="I318">
        <v>29530.44</v>
      </c>
      <c r="J318">
        <v>6845.53</v>
      </c>
      <c r="K318">
        <f>YEAR(SalesTbl[[#This Row],[Order Date]])</f>
        <v>2025</v>
      </c>
    </row>
    <row r="319" spans="1:11">
      <c r="A319" t="s">
        <v>327</v>
      </c>
      <c r="B319" s="1">
        <v>45925</v>
      </c>
      <c r="C319" t="s">
        <v>556</v>
      </c>
      <c r="D319" t="s">
        <v>557</v>
      </c>
      <c r="E319" t="s">
        <v>561</v>
      </c>
      <c r="F319" t="s">
        <v>564</v>
      </c>
      <c r="G319">
        <v>5</v>
      </c>
      <c r="H319">
        <v>9087.34</v>
      </c>
      <c r="I319">
        <v>45436.7</v>
      </c>
      <c r="J319">
        <v>6830.03</v>
      </c>
      <c r="K319">
        <f>YEAR(SalesTbl[[#This Row],[Order Date]])</f>
        <v>2025</v>
      </c>
    </row>
    <row r="320" spans="1:11">
      <c r="A320" t="s">
        <v>328</v>
      </c>
      <c r="B320" s="1">
        <v>45926</v>
      </c>
      <c r="C320" t="s">
        <v>507</v>
      </c>
      <c r="D320" t="s">
        <v>558</v>
      </c>
      <c r="E320" t="s">
        <v>561</v>
      </c>
      <c r="F320" t="s">
        <v>582</v>
      </c>
      <c r="G320">
        <v>9</v>
      </c>
      <c r="H320">
        <v>8167.9</v>
      </c>
      <c r="I320">
        <v>73511.100000000006</v>
      </c>
      <c r="J320">
        <v>9245.42</v>
      </c>
      <c r="K320">
        <f>YEAR(SalesTbl[[#This Row],[Order Date]])</f>
        <v>2025</v>
      </c>
    </row>
    <row r="321" spans="1:11">
      <c r="A321" t="s">
        <v>329</v>
      </c>
      <c r="B321" s="1">
        <v>45930</v>
      </c>
      <c r="C321" t="s">
        <v>508</v>
      </c>
      <c r="D321" t="s">
        <v>560</v>
      </c>
      <c r="E321" t="s">
        <v>561</v>
      </c>
      <c r="F321" t="s">
        <v>581</v>
      </c>
      <c r="G321">
        <v>2</v>
      </c>
      <c r="H321">
        <v>29086.14</v>
      </c>
      <c r="I321">
        <v>58172.28</v>
      </c>
      <c r="J321">
        <v>9419.93</v>
      </c>
      <c r="K321">
        <f>YEAR(SalesTbl[[#This Row],[Order Date]])</f>
        <v>2025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3F1F-4BD1-428B-82FF-96F8B5BA7870}">
  <sheetPr>
    <pageSetUpPr fitToPage="1"/>
  </sheetPr>
  <dimension ref="A2:XFD8"/>
  <sheetViews>
    <sheetView topLeftCell="B3" zoomScaleNormal="100" workbookViewId="0">
      <selection activeCell="R18" sqref="R18"/>
    </sheetView>
  </sheetViews>
  <sheetFormatPr defaultRowHeight="15"/>
  <cols>
    <col min="1" max="1" width="15" bestFit="1" customWidth="1"/>
    <col min="2" max="2" width="14.7109375" bestFit="1" customWidth="1"/>
    <col min="3" max="3" width="23.5703125" bestFit="1" customWidth="1"/>
    <col min="8" max="8" width="6.140625" customWidth="1"/>
    <col min="9" max="9" width="24.28515625" customWidth="1"/>
    <col min="16384" max="16384" width="15.85546875" bestFit="1" customWidth="1"/>
  </cols>
  <sheetData>
    <row r="2" spans="1:16 16384:16384" ht="21">
      <c r="A2" s="3"/>
      <c r="B2" s="7"/>
      <c r="C2" s="28"/>
      <c r="I2" s="4"/>
      <c r="XFD2" s="4">
        <f>SUM(SalesTbl[Total Sales])</f>
        <v>45561064.87999998</v>
      </c>
    </row>
    <row r="3" spans="1:16 16384:16384" ht="36">
      <c r="B3" s="7"/>
      <c r="C3" s="28"/>
      <c r="E3" s="29" t="s">
        <v>610</v>
      </c>
      <c r="F3" s="29"/>
      <c r="G3" s="29"/>
      <c r="H3" s="29"/>
      <c r="I3" s="29"/>
      <c r="J3" s="29"/>
      <c r="K3" s="29"/>
      <c r="L3" s="29"/>
      <c r="M3" s="31"/>
      <c r="N3" s="31"/>
      <c r="O3" s="31"/>
      <c r="P3" s="31"/>
      <c r="XFD3" s="3">
        <f>SUM(SalesTbl[Profit])</f>
        <v>7210036.2199999988</v>
      </c>
    </row>
    <row r="4" spans="1:16 16384:16384" ht="21">
      <c r="A4" s="3"/>
      <c r="B4" s="7"/>
      <c r="C4" s="27"/>
      <c r="E4" s="30" t="s">
        <v>611</v>
      </c>
      <c r="F4" s="30"/>
      <c r="G4" s="30"/>
      <c r="H4" s="30"/>
      <c r="I4" s="30"/>
      <c r="J4" s="30"/>
      <c r="K4" s="30"/>
      <c r="M4" s="30"/>
      <c r="N4" s="30"/>
      <c r="O4" s="30"/>
      <c r="XFD4" s="8">
        <f>SUM(SalesTbl[Profit])/SUM(SalesTbl[Total Sales])</f>
        <v>0.1582499495784393</v>
      </c>
    </row>
    <row r="5" spans="1:16 16384:16384" ht="21">
      <c r="B5" s="7"/>
      <c r="C5" s="26"/>
      <c r="XFD5">
        <f>COUNTA(SalesTbl[Order ID])</f>
        <v>320</v>
      </c>
    </row>
    <row r="6" spans="1:16 16384:16384" ht="21">
      <c r="C6" s="5"/>
    </row>
    <row r="8" spans="1:16 16384:16384" ht="21">
      <c r="C8" s="6"/>
    </row>
  </sheetData>
  <printOptions horizontalCentered="1" verticalCentered="1"/>
  <pageMargins left="0.70866141732283472" right="0.70866141732283472" top="0.74803149606299213" bottom="0.74803149606299213" header="0.31496062992125984" footer="0.31496062992125984"/>
  <pageSetup paperSize="9" scale="5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Readme</vt:lpstr>
      <vt:lpstr>Pivot_Region</vt:lpstr>
      <vt:lpstr>Pivot_Products</vt:lpstr>
      <vt:lpstr>Pivot_Trends</vt:lpstr>
      <vt:lpstr>SalesData</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Satish V Gokhale</cp:lastModifiedBy>
  <cp:lastPrinted>2025-11-03T13:37:38Z</cp:lastPrinted>
  <dcterms:created xsi:type="dcterms:W3CDTF">2025-10-31T18:52:30Z</dcterms:created>
  <dcterms:modified xsi:type="dcterms:W3CDTF">2025-11-03T16:26:45Z</dcterms:modified>
</cp:coreProperties>
</file>